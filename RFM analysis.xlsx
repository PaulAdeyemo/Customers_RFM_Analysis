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B0EEEAD-EE45-4D5B-AD33-28904F302C35}" xr6:coauthVersionLast="47" xr6:coauthVersionMax="47" xr10:uidLastSave="{00000000-0000-0000-0000-000000000000}"/>
  <bookViews>
    <workbookView xWindow="-110" yWindow="-110" windowWidth="19420" windowHeight="10300" firstSheet="1" activeTab="1" xr2:uid="{99B94567-35A2-461C-AE83-9AB03D560DA3}"/>
  </bookViews>
  <sheets>
    <sheet name="Sheet2" sheetId="2" state="hidden" r:id="rId1"/>
    <sheet name="Dashboard" sheetId="4" r:id="rId2"/>
    <sheet name="RFM Analysis Table" sheetId="1" r:id="rId3"/>
    <sheet name="Pivot table" sheetId="3" r:id="rId4"/>
  </sheets>
  <definedNames>
    <definedName name="_xlnm._FilterDatabase" localSheetId="2" hidden="1">'RFM Analysis Table'!$I$2:$O$289</definedName>
  </definedNames>
  <calcPr calcId="191029"/>
  <pivotCaches>
    <pivotCache cacheId="13" r:id="rId5"/>
    <pivotCache cacheId="33" r:id="rId6"/>
    <pivotCache cacheId="3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" i="1" l="1"/>
  <c r="S5" i="1"/>
  <c r="Q4" i="1" a="1"/>
  <c r="Q4" i="1" s="1"/>
  <c r="Q5" i="1" a="1"/>
  <c r="Q5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 s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 s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 s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3" i="1" a="1"/>
  <c r="Q3" i="1" s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3" i="1"/>
  <c r="O4" i="1" a="1"/>
  <c r="O4" i="1"/>
  <c r="O5" i="1" a="1"/>
  <c r="O5" i="1"/>
  <c r="O6" i="1" a="1"/>
  <c r="O6" i="1"/>
  <c r="O7" i="1" a="1"/>
  <c r="O7" i="1" s="1"/>
  <c r="O8" i="1" a="1"/>
  <c r="O8" i="1" s="1"/>
  <c r="O9" i="1" a="1"/>
  <c r="O9" i="1"/>
  <c r="O10" i="1" a="1"/>
  <c r="O10" i="1" s="1"/>
  <c r="O11" i="1" a="1"/>
  <c r="O11" i="1" s="1"/>
  <c r="O12" i="1" a="1"/>
  <c r="O12" i="1" s="1"/>
  <c r="O13" i="1" a="1"/>
  <c r="O13" i="1"/>
  <c r="O14" i="1" a="1"/>
  <c r="O14" i="1" s="1"/>
  <c r="O15" i="1" a="1"/>
  <c r="O15" i="1" s="1"/>
  <c r="O16" i="1" a="1"/>
  <c r="O16" i="1" s="1"/>
  <c r="O17" i="1" a="1"/>
  <c r="O17" i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 s="1"/>
  <c r="O185" i="1" a="1"/>
  <c r="O185" i="1" s="1"/>
  <c r="O186" i="1" a="1"/>
  <c r="O186" i="1" s="1"/>
  <c r="O187" i="1" a="1"/>
  <c r="O187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3" i="1" a="1"/>
  <c r="O3" i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/>
  <c r="N16" i="1" a="1"/>
  <c r="N16" i="1" s="1"/>
  <c r="N17" i="1" a="1"/>
  <c r="N17" i="1" s="1"/>
  <c r="N18" i="1" a="1"/>
  <c r="N18" i="1" s="1"/>
  <c r="N19" i="1" a="1"/>
  <c r="N19" i="1"/>
  <c r="N20" i="1" a="1"/>
  <c r="N20" i="1" s="1"/>
  <c r="N21" i="1" a="1"/>
  <c r="N21" i="1" s="1"/>
  <c r="N22" i="1" a="1"/>
  <c r="N22" i="1" s="1"/>
  <c r="N23" i="1" a="1"/>
  <c r="N23" i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/>
  <c r="N48" i="1" a="1"/>
  <c r="N48" i="1" s="1"/>
  <c r="N49" i="1" a="1"/>
  <c r="N49" i="1" s="1"/>
  <c r="N50" i="1" a="1"/>
  <c r="N50" i="1" s="1"/>
  <c r="N51" i="1" a="1"/>
  <c r="N51" i="1"/>
  <c r="N52" i="1" a="1"/>
  <c r="N52" i="1" s="1"/>
  <c r="N53" i="1" a="1"/>
  <c r="N53" i="1" s="1"/>
  <c r="N54" i="1" a="1"/>
  <c r="N54" i="1" s="1"/>
  <c r="N55" i="1" a="1"/>
  <c r="N55" i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/>
  <c r="N80" i="1" a="1"/>
  <c r="N80" i="1" s="1"/>
  <c r="N81" i="1" a="1"/>
  <c r="N81" i="1" s="1"/>
  <c r="N82" i="1" a="1"/>
  <c r="N82" i="1" s="1"/>
  <c r="N83" i="1" a="1"/>
  <c r="N83" i="1"/>
  <c r="N84" i="1" a="1"/>
  <c r="N84" i="1" s="1"/>
  <c r="N85" i="1" a="1"/>
  <c r="N85" i="1" s="1"/>
  <c r="N86" i="1" a="1"/>
  <c r="N86" i="1" s="1"/>
  <c r="N87" i="1" a="1"/>
  <c r="N87" i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/>
  <c r="N112" i="1" a="1"/>
  <c r="N112" i="1" s="1"/>
  <c r="N113" i="1" a="1"/>
  <c r="N113" i="1" s="1"/>
  <c r="N114" i="1" a="1"/>
  <c r="N114" i="1" s="1"/>
  <c r="N115" i="1" a="1"/>
  <c r="N115" i="1"/>
  <c r="N116" i="1" a="1"/>
  <c r="N116" i="1" s="1"/>
  <c r="N117" i="1" a="1"/>
  <c r="N117" i="1" s="1"/>
  <c r="N118" i="1" a="1"/>
  <c r="N118" i="1" s="1"/>
  <c r="N119" i="1" a="1"/>
  <c r="N119" i="1"/>
  <c r="N120" i="1" a="1"/>
  <c r="N120" i="1" s="1"/>
  <c r="N121" i="1" a="1"/>
  <c r="N121" i="1" s="1"/>
  <c r="N122" i="1" a="1"/>
  <c r="N122" i="1" s="1"/>
  <c r="N123" i="1" a="1"/>
  <c r="N123" i="1" s="1"/>
  <c r="N124" i="1" a="1"/>
  <c r="N124" i="1" s="1"/>
  <c r="N125" i="1" a="1"/>
  <c r="N125" i="1" s="1"/>
  <c r="N126" i="1" a="1"/>
  <c r="N126" i="1" s="1"/>
  <c r="N127" i="1" a="1"/>
  <c r="N127" i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 s="1"/>
  <c r="N143" i="1" a="1"/>
  <c r="N143" i="1"/>
  <c r="N144" i="1" a="1"/>
  <c r="N144" i="1" s="1"/>
  <c r="N145" i="1" a="1"/>
  <c r="N145" i="1" s="1"/>
  <c r="N146" i="1" a="1"/>
  <c r="N146" i="1" s="1"/>
  <c r="N147" i="1" a="1"/>
  <c r="N147" i="1"/>
  <c r="N148" i="1" a="1"/>
  <c r="N148" i="1" s="1"/>
  <c r="N149" i="1" a="1"/>
  <c r="N149" i="1" s="1"/>
  <c r="N150" i="1" a="1"/>
  <c r="N150" i="1" s="1"/>
  <c r="N151" i="1" a="1"/>
  <c r="N151" i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 s="1"/>
  <c r="N159" i="1" a="1"/>
  <c r="N159" i="1"/>
  <c r="N160" i="1" a="1"/>
  <c r="N160" i="1" s="1"/>
  <c r="N161" i="1" a="1"/>
  <c r="N161" i="1" s="1"/>
  <c r="N162" i="1" a="1"/>
  <c r="N162" i="1" s="1"/>
  <c r="N163" i="1" a="1"/>
  <c r="N163" i="1" s="1"/>
  <c r="N164" i="1" a="1"/>
  <c r="N164" i="1" s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 s="1"/>
  <c r="N173" i="1" a="1"/>
  <c r="N173" i="1" s="1"/>
  <c r="N174" i="1" a="1"/>
  <c r="N174" i="1" s="1"/>
  <c r="N175" i="1" a="1"/>
  <c r="N175" i="1"/>
  <c r="N176" i="1" a="1"/>
  <c r="N176" i="1" s="1"/>
  <c r="N177" i="1" a="1"/>
  <c r="N177" i="1" s="1"/>
  <c r="N178" i="1" a="1"/>
  <c r="N178" i="1" s="1"/>
  <c r="N179" i="1" a="1"/>
  <c r="N179" i="1"/>
  <c r="N180" i="1" a="1"/>
  <c r="N180" i="1" s="1"/>
  <c r="N181" i="1" a="1"/>
  <c r="N181" i="1" s="1"/>
  <c r="N182" i="1" a="1"/>
  <c r="N182" i="1" s="1"/>
  <c r="N183" i="1" a="1"/>
  <c r="N183" i="1"/>
  <c r="N184" i="1" a="1"/>
  <c r="N184" i="1" s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 s="1"/>
  <c r="N199" i="1" a="1"/>
  <c r="N199" i="1" s="1"/>
  <c r="N200" i="1" a="1"/>
  <c r="N200" i="1" s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 s="1"/>
  <c r="N207" i="1" a="1"/>
  <c r="N207" i="1"/>
  <c r="N208" i="1" a="1"/>
  <c r="N208" i="1" s="1"/>
  <c r="N209" i="1" a="1"/>
  <c r="N209" i="1" s="1"/>
  <c r="N210" i="1" a="1"/>
  <c r="N210" i="1" s="1"/>
  <c r="N211" i="1" a="1"/>
  <c r="N211" i="1"/>
  <c r="N212" i="1" a="1"/>
  <c r="N212" i="1" s="1"/>
  <c r="N213" i="1" a="1"/>
  <c r="N213" i="1" s="1"/>
  <c r="N214" i="1" a="1"/>
  <c r="N214" i="1" s="1"/>
  <c r="N215" i="1" a="1"/>
  <c r="N215" i="1"/>
  <c r="N216" i="1" a="1"/>
  <c r="N216" i="1" s="1"/>
  <c r="N217" i="1" a="1"/>
  <c r="N217" i="1" s="1"/>
  <c r="N218" i="1" a="1"/>
  <c r="N218" i="1" s="1"/>
  <c r="N219" i="1" a="1"/>
  <c r="N219" i="1" s="1"/>
  <c r="N220" i="1" a="1"/>
  <c r="N220" i="1" s="1"/>
  <c r="N221" i="1" a="1"/>
  <c r="N221" i="1" s="1"/>
  <c r="N222" i="1" a="1"/>
  <c r="N222" i="1" s="1"/>
  <c r="N223" i="1" a="1"/>
  <c r="N223" i="1"/>
  <c r="N224" i="1" a="1"/>
  <c r="N224" i="1" s="1"/>
  <c r="N225" i="1" a="1"/>
  <c r="N225" i="1" s="1"/>
  <c r="N226" i="1" a="1"/>
  <c r="N226" i="1" s="1"/>
  <c r="N227" i="1" a="1"/>
  <c r="N227" i="1" s="1"/>
  <c r="N228" i="1" a="1"/>
  <c r="N228" i="1" s="1"/>
  <c r="N229" i="1" a="1"/>
  <c r="N229" i="1" s="1"/>
  <c r="N230" i="1" a="1"/>
  <c r="N230" i="1" s="1"/>
  <c r="N231" i="1" a="1"/>
  <c r="N231" i="1" s="1"/>
  <c r="N232" i="1" a="1"/>
  <c r="N232" i="1" s="1"/>
  <c r="N233" i="1" a="1"/>
  <c r="N233" i="1" s="1"/>
  <c r="N234" i="1" a="1"/>
  <c r="N234" i="1" s="1"/>
  <c r="N235" i="1" a="1"/>
  <c r="N235" i="1" s="1"/>
  <c r="N236" i="1" a="1"/>
  <c r="N236" i="1" s="1"/>
  <c r="N237" i="1" a="1"/>
  <c r="N237" i="1" s="1"/>
  <c r="N238" i="1" a="1"/>
  <c r="N238" i="1" s="1"/>
  <c r="N239" i="1" a="1"/>
  <c r="N239" i="1"/>
  <c r="N240" i="1" a="1"/>
  <c r="N240" i="1" s="1"/>
  <c r="N241" i="1" a="1"/>
  <c r="N241" i="1" s="1"/>
  <c r="N242" i="1" a="1"/>
  <c r="N242" i="1" s="1"/>
  <c r="N243" i="1" a="1"/>
  <c r="N243" i="1"/>
  <c r="N244" i="1" a="1"/>
  <c r="N244" i="1" s="1"/>
  <c r="N245" i="1" a="1"/>
  <c r="N245" i="1" s="1"/>
  <c r="N246" i="1" a="1"/>
  <c r="N246" i="1" s="1"/>
  <c r="N247" i="1" a="1"/>
  <c r="N247" i="1"/>
  <c r="N248" i="1" a="1"/>
  <c r="N248" i="1" s="1"/>
  <c r="N249" i="1" a="1"/>
  <c r="N249" i="1" s="1"/>
  <c r="N250" i="1" a="1"/>
  <c r="N250" i="1" s="1"/>
  <c r="N251" i="1" a="1"/>
  <c r="N251" i="1" s="1"/>
  <c r="N252" i="1" a="1"/>
  <c r="N252" i="1" s="1"/>
  <c r="N253" i="1" a="1"/>
  <c r="N253" i="1" s="1"/>
  <c r="N254" i="1" a="1"/>
  <c r="N254" i="1" s="1"/>
  <c r="N255" i="1" a="1"/>
  <c r="N255" i="1"/>
  <c r="N256" i="1" a="1"/>
  <c r="N256" i="1" s="1"/>
  <c r="N257" i="1" a="1"/>
  <c r="N257" i="1" s="1"/>
  <c r="N258" i="1" a="1"/>
  <c r="N258" i="1" s="1"/>
  <c r="N259" i="1" a="1"/>
  <c r="N259" i="1" s="1"/>
  <c r="N260" i="1" a="1"/>
  <c r="N260" i="1" s="1"/>
  <c r="N261" i="1" a="1"/>
  <c r="N261" i="1" s="1"/>
  <c r="N262" i="1" a="1"/>
  <c r="N262" i="1" s="1"/>
  <c r="N263" i="1" a="1"/>
  <c r="N263" i="1" s="1"/>
  <c r="N264" i="1" a="1"/>
  <c r="N264" i="1" s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 s="1"/>
  <c r="N271" i="1" a="1"/>
  <c r="N271" i="1" s="1"/>
  <c r="N272" i="1" a="1"/>
  <c r="N272" i="1" s="1"/>
  <c r="N273" i="1" a="1"/>
  <c r="N273" i="1" s="1"/>
  <c r="N274" i="1" a="1"/>
  <c r="N274" i="1" s="1"/>
  <c r="N275" i="1" a="1"/>
  <c r="N275" i="1" s="1"/>
  <c r="N276" i="1" a="1"/>
  <c r="N276" i="1" s="1"/>
  <c r="N277" i="1" a="1"/>
  <c r="N277" i="1" s="1"/>
  <c r="N278" i="1" a="1"/>
  <c r="N278" i="1" s="1"/>
  <c r="N279" i="1" a="1"/>
  <c r="N279" i="1" s="1"/>
  <c r="N280" i="1" a="1"/>
  <c r="N280" i="1" s="1"/>
  <c r="N281" i="1" a="1"/>
  <c r="N281" i="1" s="1"/>
  <c r="N282" i="1" a="1"/>
  <c r="N282" i="1" s="1"/>
  <c r="N283" i="1" a="1"/>
  <c r="N283" i="1" s="1"/>
  <c r="N284" i="1" a="1"/>
  <c r="N284" i="1" s="1"/>
  <c r="N285" i="1" a="1"/>
  <c r="N285" i="1" s="1"/>
  <c r="N286" i="1" a="1"/>
  <c r="N286" i="1" s="1"/>
  <c r="N287" i="1" a="1"/>
  <c r="N287" i="1" s="1"/>
  <c r="N288" i="1" a="1"/>
  <c r="N288" i="1" s="1"/>
  <c r="N289" i="1" a="1"/>
  <c r="N289" i="1" s="1"/>
  <c r="N3" i="1" a="1"/>
  <c r="N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/>
  <c r="M11" i="1" a="1"/>
  <c r="M11" i="1" s="1"/>
  <c r="M12" i="1" a="1"/>
  <c r="M12" i="1" s="1"/>
  <c r="M13" i="1" a="1"/>
  <c r="M13" i="1" s="1"/>
  <c r="M14" i="1" a="1"/>
  <c r="M14" i="1"/>
  <c r="M15" i="1" a="1"/>
  <c r="M15" i="1" s="1"/>
  <c r="M16" i="1" a="1"/>
  <c r="M16" i="1" s="1"/>
  <c r="M17" i="1" a="1"/>
  <c r="M17" i="1" s="1"/>
  <c r="M18" i="1" a="1"/>
  <c r="M18" i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/>
  <c r="M43" i="1" a="1"/>
  <c r="M43" i="1" s="1"/>
  <c r="M44" i="1" a="1"/>
  <c r="M44" i="1" s="1"/>
  <c r="M45" i="1" a="1"/>
  <c r="M45" i="1" s="1"/>
  <c r="M46" i="1" a="1"/>
  <c r="M46" i="1"/>
  <c r="M47" i="1" a="1"/>
  <c r="M47" i="1" s="1"/>
  <c r="M48" i="1" a="1"/>
  <c r="M48" i="1" s="1"/>
  <c r="M49" i="1" a="1"/>
  <c r="M49" i="1" s="1"/>
  <c r="M50" i="1" a="1"/>
  <c r="M50" i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/>
  <c r="M75" i="1" a="1"/>
  <c r="M75" i="1" s="1"/>
  <c r="M76" i="1" a="1"/>
  <c r="M76" i="1" s="1"/>
  <c r="M77" i="1" a="1"/>
  <c r="M77" i="1" s="1"/>
  <c r="M78" i="1" a="1"/>
  <c r="M78" i="1"/>
  <c r="M79" i="1" a="1"/>
  <c r="M79" i="1" s="1"/>
  <c r="M80" i="1" a="1"/>
  <c r="M80" i="1" s="1"/>
  <c r="M81" i="1" a="1"/>
  <c r="M81" i="1" s="1"/>
  <c r="M82" i="1" a="1"/>
  <c r="M82" i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/>
  <c r="M107" i="1" a="1"/>
  <c r="M107" i="1" s="1"/>
  <c r="M108" i="1" a="1"/>
  <c r="M108" i="1" s="1"/>
  <c r="M109" i="1" a="1"/>
  <c r="M109" i="1" s="1"/>
  <c r="M110" i="1" a="1"/>
  <c r="M110" i="1"/>
  <c r="M111" i="1" a="1"/>
  <c r="M111" i="1" s="1"/>
  <c r="M112" i="1" a="1"/>
  <c r="M112" i="1" s="1"/>
  <c r="M113" i="1" a="1"/>
  <c r="M113" i="1" s="1"/>
  <c r="M114" i="1" a="1"/>
  <c r="M114" i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3" i="1" a="1"/>
  <c r="M3" i="1" s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4" i="2"/>
  <c r="F3" i="2"/>
  <c r="I5" i="2" s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4" i="2"/>
  <c r="I259" i="2" l="1"/>
  <c r="I195" i="2"/>
  <c r="I131" i="2"/>
  <c r="I67" i="2"/>
  <c r="I235" i="2"/>
  <c r="I171" i="2"/>
  <c r="I107" i="2"/>
  <c r="I43" i="2"/>
  <c r="I123" i="2"/>
  <c r="I243" i="2"/>
  <c r="I35" i="2"/>
  <c r="I187" i="2"/>
  <c r="I51" i="2"/>
  <c r="I4" i="2"/>
  <c r="I227" i="2"/>
  <c r="I283" i="2"/>
  <c r="I219" i="2"/>
  <c r="I155" i="2"/>
  <c r="I91" i="2"/>
  <c r="I27" i="2"/>
  <c r="I251" i="2"/>
  <c r="I179" i="2"/>
  <c r="I99" i="2"/>
  <c r="I275" i="2"/>
  <c r="I211" i="2"/>
  <c r="I147" i="2"/>
  <c r="I83" i="2"/>
  <c r="I19" i="2"/>
  <c r="I59" i="2"/>
  <c r="I115" i="2"/>
  <c r="I163" i="2"/>
  <c r="I267" i="2"/>
  <c r="I203" i="2"/>
  <c r="I139" i="2"/>
  <c r="I75" i="2"/>
  <c r="I11" i="2"/>
  <c r="I284" i="2"/>
  <c r="I276" i="2"/>
  <c r="I268" i="2"/>
  <c r="I260" i="2"/>
  <c r="I252" i="2"/>
  <c r="I244" i="2"/>
  <c r="I236" i="2"/>
  <c r="I228" i="2"/>
  <c r="I220" i="2"/>
  <c r="I212" i="2"/>
  <c r="I204" i="2"/>
  <c r="I196" i="2"/>
  <c r="I188" i="2"/>
  <c r="I180" i="2"/>
  <c r="I172" i="2"/>
  <c r="I164" i="2"/>
  <c r="I156" i="2"/>
  <c r="I148" i="2"/>
  <c r="I140" i="2"/>
  <c r="I132" i="2"/>
  <c r="I124" i="2"/>
  <c r="I116" i="2"/>
  <c r="I108" i="2"/>
  <c r="I100" i="2"/>
  <c r="I92" i="2"/>
  <c r="I84" i="2"/>
  <c r="I76" i="2"/>
  <c r="I68" i="2"/>
  <c r="I60" i="2"/>
  <c r="I52" i="2"/>
  <c r="I44" i="2"/>
  <c r="I36" i="2"/>
  <c r="I28" i="2"/>
  <c r="I20" i="2"/>
  <c r="I12" i="2"/>
  <c r="I258" i="2"/>
  <c r="I226" i="2"/>
  <c r="I194" i="2"/>
  <c r="I170" i="2"/>
  <c r="I146" i="2"/>
  <c r="I114" i="2"/>
  <c r="I90" i="2"/>
  <c r="I66" i="2"/>
  <c r="I58" i="2"/>
  <c r="I50" i="2"/>
  <c r="I34" i="2"/>
  <c r="I281" i="2"/>
  <c r="I273" i="2"/>
  <c r="I257" i="2"/>
  <c r="I249" i="2"/>
  <c r="I241" i="2"/>
  <c r="I233" i="2"/>
  <c r="I225" i="2"/>
  <c r="I217" i="2"/>
  <c r="I209" i="2"/>
  <c r="I201" i="2"/>
  <c r="I193" i="2"/>
  <c r="I185" i="2"/>
  <c r="I169" i="2"/>
  <c r="I161" i="2"/>
  <c r="I153" i="2"/>
  <c r="I145" i="2"/>
  <c r="I137" i="2"/>
  <c r="I129" i="2"/>
  <c r="I121" i="2"/>
  <c r="I113" i="2"/>
  <c r="I105" i="2"/>
  <c r="I97" i="2"/>
  <c r="I89" i="2"/>
  <c r="I81" i="2"/>
  <c r="I73" i="2"/>
  <c r="I65" i="2"/>
  <c r="I57" i="2"/>
  <c r="I49" i="2"/>
  <c r="I41" i="2"/>
  <c r="I33" i="2"/>
  <c r="I25" i="2"/>
  <c r="I17" i="2"/>
  <c r="I9" i="2"/>
  <c r="I274" i="2"/>
  <c r="I242" i="2"/>
  <c r="I202" i="2"/>
  <c r="I162" i="2"/>
  <c r="I138" i="2"/>
  <c r="I98" i="2"/>
  <c r="I10" i="2"/>
  <c r="I289" i="2"/>
  <c r="I265" i="2"/>
  <c r="I177" i="2"/>
  <c r="I288" i="2"/>
  <c r="I280" i="2"/>
  <c r="I272" i="2"/>
  <c r="I264" i="2"/>
  <c r="I256" i="2"/>
  <c r="I248" i="2"/>
  <c r="I240" i="2"/>
  <c r="I232" i="2"/>
  <c r="I224" i="2"/>
  <c r="I216" i="2"/>
  <c r="I208" i="2"/>
  <c r="I200" i="2"/>
  <c r="I192" i="2"/>
  <c r="I184" i="2"/>
  <c r="I176" i="2"/>
  <c r="I168" i="2"/>
  <c r="I160" i="2"/>
  <c r="I152" i="2"/>
  <c r="I144" i="2"/>
  <c r="I136" i="2"/>
  <c r="I128" i="2"/>
  <c r="I120" i="2"/>
  <c r="I112" i="2"/>
  <c r="I104" i="2"/>
  <c r="I96" i="2"/>
  <c r="I88" i="2"/>
  <c r="I80" i="2"/>
  <c r="I72" i="2"/>
  <c r="I64" i="2"/>
  <c r="I56" i="2"/>
  <c r="I48" i="2"/>
  <c r="I40" i="2"/>
  <c r="I32" i="2"/>
  <c r="I24" i="2"/>
  <c r="I16" i="2"/>
  <c r="I8" i="2"/>
  <c r="I282" i="2"/>
  <c r="I234" i="2"/>
  <c r="I186" i="2"/>
  <c r="I122" i="2"/>
  <c r="I74" i="2"/>
  <c r="I42" i="2"/>
  <c r="I279" i="2"/>
  <c r="I271" i="2"/>
  <c r="I255" i="2"/>
  <c r="I239" i="2"/>
  <c r="I231" i="2"/>
  <c r="I223" i="2"/>
  <c r="I215" i="2"/>
  <c r="I207" i="2"/>
  <c r="I199" i="2"/>
  <c r="I191" i="2"/>
  <c r="I183" i="2"/>
  <c r="I167" i="2"/>
  <c r="I159" i="2"/>
  <c r="I151" i="2"/>
  <c r="I143" i="2"/>
  <c r="I135" i="2"/>
  <c r="I127" i="2"/>
  <c r="I119" i="2"/>
  <c r="I111" i="2"/>
  <c r="I103" i="2"/>
  <c r="I95" i="2"/>
  <c r="I87" i="2"/>
  <c r="I79" i="2"/>
  <c r="I71" i="2"/>
  <c r="I63" i="2"/>
  <c r="I55" i="2"/>
  <c r="I47" i="2"/>
  <c r="I39" i="2"/>
  <c r="I31" i="2"/>
  <c r="I23" i="2"/>
  <c r="I15" i="2"/>
  <c r="I7" i="2"/>
  <c r="I290" i="2"/>
  <c r="I250" i="2"/>
  <c r="I218" i="2"/>
  <c r="I178" i="2"/>
  <c r="I130" i="2"/>
  <c r="I82" i="2"/>
  <c r="I18" i="2"/>
  <c r="I287" i="2"/>
  <c r="I263" i="2"/>
  <c r="I175" i="2"/>
  <c r="I286" i="2"/>
  <c r="I278" i="2"/>
  <c r="I270" i="2"/>
  <c r="I262" i="2"/>
  <c r="I254" i="2"/>
  <c r="I246" i="2"/>
  <c r="I238" i="2"/>
  <c r="I230" i="2"/>
  <c r="I222" i="2"/>
  <c r="I214" i="2"/>
  <c r="I206" i="2"/>
  <c r="I198" i="2"/>
  <c r="I190" i="2"/>
  <c r="I182" i="2"/>
  <c r="I174" i="2"/>
  <c r="I166" i="2"/>
  <c r="I158" i="2"/>
  <c r="I150" i="2"/>
  <c r="I142" i="2"/>
  <c r="I134" i="2"/>
  <c r="I126" i="2"/>
  <c r="I118" i="2"/>
  <c r="I110" i="2"/>
  <c r="I102" i="2"/>
  <c r="I94" i="2"/>
  <c r="I86" i="2"/>
  <c r="I78" i="2"/>
  <c r="I70" i="2"/>
  <c r="I62" i="2"/>
  <c r="I54" i="2"/>
  <c r="I46" i="2"/>
  <c r="I38" i="2"/>
  <c r="I30" i="2"/>
  <c r="I22" i="2"/>
  <c r="I14" i="2"/>
  <c r="I6" i="2"/>
  <c r="I266" i="2"/>
  <c r="I210" i="2"/>
  <c r="I154" i="2"/>
  <c r="I106" i="2"/>
  <c r="I26" i="2"/>
  <c r="I247" i="2"/>
  <c r="I285" i="2"/>
  <c r="I277" i="2"/>
  <c r="I269" i="2"/>
  <c r="I261" i="2"/>
  <c r="I253" i="2"/>
  <c r="I245" i="2"/>
  <c r="I237" i="2"/>
  <c r="I229" i="2"/>
  <c r="I221" i="2"/>
  <c r="I213" i="2"/>
  <c r="I205" i="2"/>
  <c r="I197" i="2"/>
  <c r="I189" i="2"/>
  <c r="I181" i="2"/>
  <c r="I173" i="2"/>
  <c r="I165" i="2"/>
  <c r="I157" i="2"/>
  <c r="I149" i="2"/>
  <c r="I141" i="2"/>
  <c r="I133" i="2"/>
  <c r="I125" i="2"/>
  <c r="I117" i="2"/>
  <c r="I109" i="2"/>
  <c r="I101" i="2"/>
  <c r="I93" i="2"/>
  <c r="I85" i="2"/>
  <c r="I77" i="2"/>
  <c r="I69" i="2"/>
  <c r="I61" i="2"/>
  <c r="I53" i="2"/>
  <c r="I45" i="2"/>
  <c r="I37" i="2"/>
  <c r="I29" i="2"/>
  <c r="I21" i="2"/>
  <c r="I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<sst xmlns="http://schemas.openxmlformats.org/spreadsheetml/2006/main" count="3612" uniqueCount="1323">
  <si>
    <t>OrderID</t>
  </si>
  <si>
    <t>CustomerID</t>
  </si>
  <si>
    <t>OrderDate</t>
  </si>
  <si>
    <t>ProductType</t>
  </si>
  <si>
    <t>OrderValue</t>
  </si>
  <si>
    <t>ORDER00001</t>
  </si>
  <si>
    <t>CUST0259</t>
  </si>
  <si>
    <t>Canvas Print</t>
  </si>
  <si>
    <t>ORDER00002</t>
  </si>
  <si>
    <t>CUST0161</t>
  </si>
  <si>
    <t>Poster</t>
  </si>
  <si>
    <t>ORDER00003</t>
  </si>
  <si>
    <t>CUST0178</t>
  </si>
  <si>
    <t>Business Card</t>
  </si>
  <si>
    <t>ORDER00004</t>
  </si>
  <si>
    <t>CUST0010</t>
  </si>
  <si>
    <t>Flyer</t>
  </si>
  <si>
    <t>ORDER00005</t>
  </si>
  <si>
    <t>CUST0261</t>
  </si>
  <si>
    <t>ORDER00006</t>
  </si>
  <si>
    <t>CUST0138</t>
  </si>
  <si>
    <t>ORDER00007</t>
  </si>
  <si>
    <t>CUST0172</t>
  </si>
  <si>
    <t>ORDER00008</t>
  </si>
  <si>
    <t>CUST0013</t>
  </si>
  <si>
    <t>ORDER00009</t>
  </si>
  <si>
    <t>CUST0168</t>
  </si>
  <si>
    <t>ORDER00010</t>
  </si>
  <si>
    <t>CUST0130</t>
  </si>
  <si>
    <t>Photo Book</t>
  </si>
  <si>
    <t>ORDER00011</t>
  </si>
  <si>
    <t>CUST0084</t>
  </si>
  <si>
    <t>ORDER00012</t>
  </si>
  <si>
    <t>CUST0101</t>
  </si>
  <si>
    <t>ORDER00013</t>
  </si>
  <si>
    <t>CUST0273</t>
  </si>
  <si>
    <t>ORDER00014</t>
  </si>
  <si>
    <t>CUST0265</t>
  </si>
  <si>
    <t>ORDER00015</t>
  </si>
  <si>
    <t>CUST0038</t>
  </si>
  <si>
    <t>ORDER00016</t>
  </si>
  <si>
    <t>CUST0094</t>
  </si>
  <si>
    <t>ORDER00017</t>
  </si>
  <si>
    <t>CUST0095</t>
  </si>
  <si>
    <t>ORDER00018</t>
  </si>
  <si>
    <t>CUST0069</t>
  </si>
  <si>
    <t>ORDER00019</t>
  </si>
  <si>
    <t>CUST0236</t>
  </si>
  <si>
    <t>ORDER00020</t>
  </si>
  <si>
    <t>CUST0137</t>
  </si>
  <si>
    <t>Greeting Card</t>
  </si>
  <si>
    <t>ORDER00021</t>
  </si>
  <si>
    <t>CUST0076</t>
  </si>
  <si>
    <t>ORDER00022</t>
  </si>
  <si>
    <t>CUST0035</t>
  </si>
  <si>
    <t>ORDER00023</t>
  </si>
  <si>
    <t>CUST0001</t>
  </si>
  <si>
    <t>ORDER00024</t>
  </si>
  <si>
    <t>CUST0296</t>
  </si>
  <si>
    <t>ORDER00025</t>
  </si>
  <si>
    <t>CUST0060</t>
  </si>
  <si>
    <t>ORDER00026</t>
  </si>
  <si>
    <t>CUST0267</t>
  </si>
  <si>
    <t>ORDER00027</t>
  </si>
  <si>
    <t>CUST0229</t>
  </si>
  <si>
    <t>ORDER00028</t>
  </si>
  <si>
    <t>CUST0270</t>
  </si>
  <si>
    <t>ORDER00029</t>
  </si>
  <si>
    <t>CUST0286</t>
  </si>
  <si>
    <t>ORDER00030</t>
  </si>
  <si>
    <t>CUST0291</t>
  </si>
  <si>
    <t>ORDER00031</t>
  </si>
  <si>
    <t>CUST0213</t>
  </si>
  <si>
    <t>ORDER00032</t>
  </si>
  <si>
    <t>CUST0165</t>
  </si>
  <si>
    <t>ORDER00033</t>
  </si>
  <si>
    <t>CUST0005</t>
  </si>
  <si>
    <t>ORDER00034</t>
  </si>
  <si>
    <t>CUST0078</t>
  </si>
  <si>
    <t>ORDER00035</t>
  </si>
  <si>
    <t>CUST0062</t>
  </si>
  <si>
    <t>ORDER00036</t>
  </si>
  <si>
    <t>CUST0132</t>
  </si>
  <si>
    <t>ORDER00037</t>
  </si>
  <si>
    <t>CUST0089</t>
  </si>
  <si>
    <t>ORDER00038</t>
  </si>
  <si>
    <t>CUST0237</t>
  </si>
  <si>
    <t>ORDER00039</t>
  </si>
  <si>
    <t>CUST0042</t>
  </si>
  <si>
    <t>ORDER00040</t>
  </si>
  <si>
    <t>ORDER00041</t>
  </si>
  <si>
    <t>ORDER00042</t>
  </si>
  <si>
    <t>CUST0295</t>
  </si>
  <si>
    <t>ORDER00043</t>
  </si>
  <si>
    <t>CUST0104</t>
  </si>
  <si>
    <t>ORDER00044</t>
  </si>
  <si>
    <t>CUST0014</t>
  </si>
  <si>
    <t>ORDER00045</t>
  </si>
  <si>
    <t>CUST0288</t>
  </si>
  <si>
    <t>ORDER00046</t>
  </si>
  <si>
    <t>CUST0179</t>
  </si>
  <si>
    <t>ORDER00047</t>
  </si>
  <si>
    <t>CUST0125</t>
  </si>
  <si>
    <t>ORDER00048</t>
  </si>
  <si>
    <t>CUST0023</t>
  </si>
  <si>
    <t>ORDER00049</t>
  </si>
  <si>
    <t>CUST0063</t>
  </si>
  <si>
    <t>ORDER00050</t>
  </si>
  <si>
    <t>CUST0143</t>
  </si>
  <si>
    <t>ORDER00051</t>
  </si>
  <si>
    <t>CUST0153</t>
  </si>
  <si>
    <t>ORDER00052</t>
  </si>
  <si>
    <t>CUST0145</t>
  </si>
  <si>
    <t>ORDER00053</t>
  </si>
  <si>
    <t>CUST0225</t>
  </si>
  <si>
    <t>ORDER00054</t>
  </si>
  <si>
    <t>ORDER00055</t>
  </si>
  <si>
    <t>ORDER00056</t>
  </si>
  <si>
    <t>CUST0039</t>
  </si>
  <si>
    <t>ORDER00057</t>
  </si>
  <si>
    <t>CUST0198</t>
  </si>
  <si>
    <t>ORDER00058</t>
  </si>
  <si>
    <t>CUST0134</t>
  </si>
  <si>
    <t>ORDER00059</t>
  </si>
  <si>
    <t>CUST0067</t>
  </si>
  <si>
    <t>ORDER00060</t>
  </si>
  <si>
    <t>ORDER00061</t>
  </si>
  <si>
    <t>ORDER00062</t>
  </si>
  <si>
    <t>CUST0015</t>
  </si>
  <si>
    <t>ORDER00063</t>
  </si>
  <si>
    <t>CUST0111</t>
  </si>
  <si>
    <t>ORDER00064</t>
  </si>
  <si>
    <t>CUST0157</t>
  </si>
  <si>
    <t>ORDER00065</t>
  </si>
  <si>
    <t>CUST0289</t>
  </si>
  <si>
    <t>ORDER00066</t>
  </si>
  <si>
    <t>CUST0231</t>
  </si>
  <si>
    <t>ORDER00067</t>
  </si>
  <si>
    <t>ORDER00068</t>
  </si>
  <si>
    <t>ORDER00069</t>
  </si>
  <si>
    <t>CUST0097</t>
  </si>
  <si>
    <t>ORDER00070</t>
  </si>
  <si>
    <t>ORDER00071</t>
  </si>
  <si>
    <t>CUST0254</t>
  </si>
  <si>
    <t>ORDER00072</t>
  </si>
  <si>
    <t>CUST0196</t>
  </si>
  <si>
    <t>ORDER00073</t>
  </si>
  <si>
    <t>CUST0086</t>
  </si>
  <si>
    <t>ORDER00074</t>
  </si>
  <si>
    <t>ORDER00075</t>
  </si>
  <si>
    <t>ORDER00076</t>
  </si>
  <si>
    <t>CUST0123</t>
  </si>
  <si>
    <t>ORDER00077</t>
  </si>
  <si>
    <t>CUST0118</t>
  </si>
  <si>
    <t>ORDER00078</t>
  </si>
  <si>
    <t>CUST0294</t>
  </si>
  <si>
    <t>ORDER00079</t>
  </si>
  <si>
    <t>CUST0159</t>
  </si>
  <si>
    <t>ORDER00080</t>
  </si>
  <si>
    <t>CUST0228</t>
  </si>
  <si>
    <t>ORDER00081</t>
  </si>
  <si>
    <t>CUST0216</t>
  </si>
  <si>
    <t>ORDER00082</t>
  </si>
  <si>
    <t>CUST0184</t>
  </si>
  <si>
    <t>ORDER00083</t>
  </si>
  <si>
    <t>ORDER00084</t>
  </si>
  <si>
    <t>ORDER00085</t>
  </si>
  <si>
    <t>CUST0136</t>
  </si>
  <si>
    <t>ORDER00086</t>
  </si>
  <si>
    <t>ORDER00087</t>
  </si>
  <si>
    <t>ORDER00088</t>
  </si>
  <si>
    <t>CUST0047</t>
  </si>
  <si>
    <t>ORDER00089</t>
  </si>
  <si>
    <t>CUST0173</t>
  </si>
  <si>
    <t>ORDER00090</t>
  </si>
  <si>
    <t>ORDER00091</t>
  </si>
  <si>
    <t>ORDER00092</t>
  </si>
  <si>
    <t>CUST0115</t>
  </si>
  <si>
    <t>ORDER00093</t>
  </si>
  <si>
    <t>CUST0243</t>
  </si>
  <si>
    <t>ORDER00094</t>
  </si>
  <si>
    <t>CUST0292</t>
  </si>
  <si>
    <t>ORDER00095</t>
  </si>
  <si>
    <t>CUST0282</t>
  </si>
  <si>
    <t>ORDER00096</t>
  </si>
  <si>
    <t>CUST0299</t>
  </si>
  <si>
    <t>ORDER00097</t>
  </si>
  <si>
    <t>CUST0283</t>
  </si>
  <si>
    <t>ORDER00098</t>
  </si>
  <si>
    <t>ORDER00099</t>
  </si>
  <si>
    <t>CUST0148</t>
  </si>
  <si>
    <t>ORDER00100</t>
  </si>
  <si>
    <t>CUST0011</t>
  </si>
  <si>
    <t>ORDER00101</t>
  </si>
  <si>
    <t>ORDER00102</t>
  </si>
  <si>
    <t>ORDER00103</t>
  </si>
  <si>
    <t>ORDER00104</t>
  </si>
  <si>
    <t>CUST0200</t>
  </si>
  <si>
    <t>ORDER00105</t>
  </si>
  <si>
    <t>ORDER00106</t>
  </si>
  <si>
    <t>CUST0218</t>
  </si>
  <si>
    <t>ORDER00107</t>
  </si>
  <si>
    <t>CUST0141</t>
  </si>
  <si>
    <t>ORDER00108</t>
  </si>
  <si>
    <t>ORDER00109</t>
  </si>
  <si>
    <t>CUST0210</t>
  </si>
  <si>
    <t>ORDER00110</t>
  </si>
  <si>
    <t>ORDER00111</t>
  </si>
  <si>
    <t>ORDER00112</t>
  </si>
  <si>
    <t>CUST0171</t>
  </si>
  <si>
    <t>ORDER00113</t>
  </si>
  <si>
    <t>CUST0133</t>
  </si>
  <si>
    <t>ORDER00114</t>
  </si>
  <si>
    <t>CUST0293</t>
  </si>
  <si>
    <t>ORDER00115</t>
  </si>
  <si>
    <t>CUST0127</t>
  </si>
  <si>
    <t>ORDER00116</t>
  </si>
  <si>
    <t>CUST0106</t>
  </si>
  <si>
    <t>ORDER00117</t>
  </si>
  <si>
    <t>CUST0092</t>
  </si>
  <si>
    <t>ORDER00118</t>
  </si>
  <si>
    <t>CUST0287</t>
  </si>
  <si>
    <t>ORDER00119</t>
  </si>
  <si>
    <t>CUST0051</t>
  </si>
  <si>
    <t>ORDER00120</t>
  </si>
  <si>
    <t>CUST0029</t>
  </si>
  <si>
    <t>ORDER00121</t>
  </si>
  <si>
    <t>ORDER00122</t>
  </si>
  <si>
    <t>CUST0297</t>
  </si>
  <si>
    <t>ORDER00123</t>
  </si>
  <si>
    <t>CUST0214</t>
  </si>
  <si>
    <t>ORDER00124</t>
  </si>
  <si>
    <t>ORDER00125</t>
  </si>
  <si>
    <t>CUST0257</t>
  </si>
  <si>
    <t>ORDER00126</t>
  </si>
  <si>
    <t>ORDER00127</t>
  </si>
  <si>
    <t>CUST0110</t>
  </si>
  <si>
    <t>ORDER00128</t>
  </si>
  <si>
    <t>CUST0182</t>
  </si>
  <si>
    <t>ORDER00129</t>
  </si>
  <si>
    <t>ORDER00130</t>
  </si>
  <si>
    <t>CUST0055</t>
  </si>
  <si>
    <t>ORDER00131</t>
  </si>
  <si>
    <t>CUST0149</t>
  </si>
  <si>
    <t>ORDER00132</t>
  </si>
  <si>
    <t>ORDER00133</t>
  </si>
  <si>
    <t>CUST0202</t>
  </si>
  <si>
    <t>ORDER00134</t>
  </si>
  <si>
    <t>CUST0117</t>
  </si>
  <si>
    <t>ORDER00135</t>
  </si>
  <si>
    <t>CUST0154</t>
  </si>
  <si>
    <t>ORDER00136</t>
  </si>
  <si>
    <t>ORDER00137</t>
  </si>
  <si>
    <t>ORDER00138</t>
  </si>
  <si>
    <t>CUST0244</t>
  </si>
  <si>
    <t>ORDER00139</t>
  </si>
  <si>
    <t>CUST0025</t>
  </si>
  <si>
    <t>ORDER00140</t>
  </si>
  <si>
    <t>CUST0090</t>
  </si>
  <si>
    <t>ORDER00141</t>
  </si>
  <si>
    <t>CUST0075</t>
  </si>
  <si>
    <t>ORDER00142</t>
  </si>
  <si>
    <t>ORDER00143</t>
  </si>
  <si>
    <t>ORDER00144</t>
  </si>
  <si>
    <t>CUST0017</t>
  </si>
  <si>
    <t>ORDER00145</t>
  </si>
  <si>
    <t>CUST0128</t>
  </si>
  <si>
    <t>ORDER00146</t>
  </si>
  <si>
    <t>CUST0251</t>
  </si>
  <si>
    <t>ORDER00147</t>
  </si>
  <si>
    <t>ORDER00148</t>
  </si>
  <si>
    <t>ORDER00149</t>
  </si>
  <si>
    <t>CUST0152</t>
  </si>
  <si>
    <t>ORDER00150</t>
  </si>
  <si>
    <t>ORDER00151</t>
  </si>
  <si>
    <t>CUST0180</t>
  </si>
  <si>
    <t>ORDER00152</t>
  </si>
  <si>
    <t>ORDER00153</t>
  </si>
  <si>
    <t>ORDER00154</t>
  </si>
  <si>
    <t>CUST0177</t>
  </si>
  <si>
    <t>ORDER00155</t>
  </si>
  <si>
    <t>CUST0285</t>
  </si>
  <si>
    <t>ORDER00156</t>
  </si>
  <si>
    <t>ORDER00157</t>
  </si>
  <si>
    <t>CUST0150</t>
  </si>
  <si>
    <t>ORDER00158</t>
  </si>
  <si>
    <t>ORDER00159</t>
  </si>
  <si>
    <t>CUST0156</t>
  </si>
  <si>
    <t>ORDER00160</t>
  </si>
  <si>
    <t>CUST0049</t>
  </si>
  <si>
    <t>ORDER00161</t>
  </si>
  <si>
    <t>ORDER00162</t>
  </si>
  <si>
    <t>ORDER00163</t>
  </si>
  <si>
    <t>ORDER00164</t>
  </si>
  <si>
    <t>ORDER00165</t>
  </si>
  <si>
    <t>ORDER00166</t>
  </si>
  <si>
    <t>CUST0189</t>
  </si>
  <si>
    <t>ORDER00167</t>
  </si>
  <si>
    <t>ORDER00168</t>
  </si>
  <si>
    <t>ORDER00169</t>
  </si>
  <si>
    <t>CUST0224</t>
  </si>
  <si>
    <t>ORDER00170</t>
  </si>
  <si>
    <t>ORDER00171</t>
  </si>
  <si>
    <t>CUST0215</t>
  </si>
  <si>
    <t>ORDER00172</t>
  </si>
  <si>
    <t>CUST0211</t>
  </si>
  <si>
    <t>ORDER00173</t>
  </si>
  <si>
    <t>CUST0032</t>
  </si>
  <si>
    <t>ORDER00174</t>
  </si>
  <si>
    <t>CUST0158</t>
  </si>
  <si>
    <t>ORDER00175</t>
  </si>
  <si>
    <t>ORDER00176</t>
  </si>
  <si>
    <t>ORDER00177</t>
  </si>
  <si>
    <t>CUST0144</t>
  </si>
  <si>
    <t>ORDER00178</t>
  </si>
  <si>
    <t>CUST0019</t>
  </si>
  <si>
    <t>ORDER00179</t>
  </si>
  <si>
    <t>CUST0018</t>
  </si>
  <si>
    <t>ORDER00180</t>
  </si>
  <si>
    <t>ORDER00181</t>
  </si>
  <si>
    <t>ORDER00182</t>
  </si>
  <si>
    <t>CUST0175</t>
  </si>
  <si>
    <t>ORDER00183</t>
  </si>
  <si>
    <t>CUST0194</t>
  </si>
  <si>
    <t>ORDER00184</t>
  </si>
  <si>
    <t>CUST0113</t>
  </si>
  <si>
    <t>ORDER00185</t>
  </si>
  <si>
    <t>CUST0114</t>
  </si>
  <si>
    <t>ORDER00186</t>
  </si>
  <si>
    <t>CUST0222</t>
  </si>
  <si>
    <t>ORDER00187</t>
  </si>
  <si>
    <t>CUST0166</t>
  </si>
  <si>
    <t>ORDER00188</t>
  </si>
  <si>
    <t>ORDER00189</t>
  </si>
  <si>
    <t>CUST0264</t>
  </si>
  <si>
    <t>ORDER00190</t>
  </si>
  <si>
    <t>ORDER00191</t>
  </si>
  <si>
    <t>CUST0131</t>
  </si>
  <si>
    <t>ORDER00192</t>
  </si>
  <si>
    <t>ORDER00193</t>
  </si>
  <si>
    <t>CUST0266</t>
  </si>
  <si>
    <t>ORDER00194</t>
  </si>
  <si>
    <t>CUST0162</t>
  </si>
  <si>
    <t>ORDER00195</t>
  </si>
  <si>
    <t>CUST0087</t>
  </si>
  <si>
    <t>ORDER00196</t>
  </si>
  <si>
    <t>ORDER00197</t>
  </si>
  <si>
    <t>ORDER00198</t>
  </si>
  <si>
    <t>ORDER00199</t>
  </si>
  <si>
    <t>CUST0008</t>
  </si>
  <si>
    <t>ORDER00200</t>
  </si>
  <si>
    <t>CUST0247</t>
  </si>
  <si>
    <t>ORDER00201</t>
  </si>
  <si>
    <t>CUST0255</t>
  </si>
  <si>
    <t>ORDER00202</t>
  </si>
  <si>
    <t>CUST0054</t>
  </si>
  <si>
    <t>ORDER00203</t>
  </si>
  <si>
    <t>CUST0249</t>
  </si>
  <si>
    <t>ORDER00204</t>
  </si>
  <si>
    <t>CUST0239</t>
  </si>
  <si>
    <t>ORDER00205</t>
  </si>
  <si>
    <t>ORDER00206</t>
  </si>
  <si>
    <t>ORDER00207</t>
  </si>
  <si>
    <t>ORDER00208</t>
  </si>
  <si>
    <t>ORDER00209</t>
  </si>
  <si>
    <t>ORDER00210</t>
  </si>
  <si>
    <t>ORDER00211</t>
  </si>
  <si>
    <t>ORDER00212</t>
  </si>
  <si>
    <t>CUST0096</t>
  </si>
  <si>
    <t>ORDER00213</t>
  </si>
  <si>
    <t>CUST0088</t>
  </si>
  <si>
    <t>ORDER00214</t>
  </si>
  <si>
    <t>ORDER00215</t>
  </si>
  <si>
    <t>ORDER00216</t>
  </si>
  <si>
    <t>CUST0120</t>
  </si>
  <si>
    <t>ORDER00217</t>
  </si>
  <si>
    <t>ORDER00218</t>
  </si>
  <si>
    <t>ORDER00219</t>
  </si>
  <si>
    <t>CUST0223</t>
  </si>
  <si>
    <t>ORDER00220</t>
  </si>
  <si>
    <t>CUST0007</t>
  </si>
  <si>
    <t>ORDER00221</t>
  </si>
  <si>
    <t>CUST0263</t>
  </si>
  <si>
    <t>ORDER00222</t>
  </si>
  <si>
    <t>ORDER00223</t>
  </si>
  <si>
    <t>CUST0151</t>
  </si>
  <si>
    <t>ORDER00224</t>
  </si>
  <si>
    <t>CUST0085</t>
  </si>
  <si>
    <t>ORDER00225</t>
  </si>
  <si>
    <t>CUST0147</t>
  </si>
  <si>
    <t>ORDER00226</t>
  </si>
  <si>
    <t>CUST0112</t>
  </si>
  <si>
    <t>ORDER00227</t>
  </si>
  <si>
    <t>CUST0036</t>
  </si>
  <si>
    <t>ORDER00228</t>
  </si>
  <si>
    <t>ORDER00229</t>
  </si>
  <si>
    <t>CUST0188</t>
  </si>
  <si>
    <t>ORDER00230</t>
  </si>
  <si>
    <t>CUST0082</t>
  </si>
  <si>
    <t>ORDER00231</t>
  </si>
  <si>
    <t>CUST0002</t>
  </si>
  <si>
    <t>ORDER00232</t>
  </si>
  <si>
    <t>CUST0197</t>
  </si>
  <si>
    <t>ORDER00233</t>
  </si>
  <si>
    <t>ORDER00234</t>
  </si>
  <si>
    <t>CUST0234</t>
  </si>
  <si>
    <t>ORDER00235</t>
  </si>
  <si>
    <t>CUST0195</t>
  </si>
  <si>
    <t>ORDER00236</t>
  </si>
  <si>
    <t>CUST0119</t>
  </si>
  <si>
    <t>ORDER00237</t>
  </si>
  <si>
    <t>CUST0020</t>
  </si>
  <si>
    <t>ORDER00238</t>
  </si>
  <si>
    <t>ORDER00239</t>
  </si>
  <si>
    <t>ORDER00240</t>
  </si>
  <si>
    <t>CUST0256</t>
  </si>
  <si>
    <t>ORDER00241</t>
  </si>
  <si>
    <t>ORDER00242</t>
  </si>
  <si>
    <t>CUST0226</t>
  </si>
  <si>
    <t>ORDER00243</t>
  </si>
  <si>
    <t>CUST0053</t>
  </si>
  <si>
    <t>ORDER00244</t>
  </si>
  <si>
    <t>CUST0280</t>
  </si>
  <si>
    <t>ORDER00245</t>
  </si>
  <si>
    <t>CUST0081</t>
  </si>
  <si>
    <t>ORDER00246</t>
  </si>
  <si>
    <t>ORDER00247</t>
  </si>
  <si>
    <t>ORDER00248</t>
  </si>
  <si>
    <t>ORDER00249</t>
  </si>
  <si>
    <t>CUST0059</t>
  </si>
  <si>
    <t>ORDER00250</t>
  </si>
  <si>
    <t>ORDER00251</t>
  </si>
  <si>
    <t>ORDER00252</t>
  </si>
  <si>
    <t>ORDER00253</t>
  </si>
  <si>
    <t>CUST0209</t>
  </si>
  <si>
    <t>ORDER00254</t>
  </si>
  <si>
    <t>ORDER00255</t>
  </si>
  <si>
    <t>ORDER00256</t>
  </si>
  <si>
    <t>ORDER00257</t>
  </si>
  <si>
    <t>CUST0009</t>
  </si>
  <si>
    <t>ORDER00258</t>
  </si>
  <si>
    <t>CUST0040</t>
  </si>
  <si>
    <t>ORDER00259</t>
  </si>
  <si>
    <t>ORDER00260</t>
  </si>
  <si>
    <t>CUST0281</t>
  </si>
  <si>
    <t>ORDER00261</t>
  </si>
  <si>
    <t>CUST0201</t>
  </si>
  <si>
    <t>ORDER00262</t>
  </si>
  <si>
    <t>CUST0246</t>
  </si>
  <si>
    <t>ORDER00263</t>
  </si>
  <si>
    <t>CUST0278</t>
  </si>
  <si>
    <t>ORDER00264</t>
  </si>
  <si>
    <t>CUST0235</t>
  </si>
  <si>
    <t>ORDER00265</t>
  </si>
  <si>
    <t>CUST0004</t>
  </si>
  <si>
    <t>ORDER00266</t>
  </si>
  <si>
    <t>ORDER00267</t>
  </si>
  <si>
    <t>ORDER00268</t>
  </si>
  <si>
    <t>CUST0109</t>
  </si>
  <si>
    <t>ORDER00269</t>
  </si>
  <si>
    <t>CUST0098</t>
  </si>
  <si>
    <t>ORDER00270</t>
  </si>
  <si>
    <t>ORDER00271</t>
  </si>
  <si>
    <t>ORDER00272</t>
  </si>
  <si>
    <t>ORDER00273</t>
  </si>
  <si>
    <t>CUST0146</t>
  </si>
  <si>
    <t>ORDER00274</t>
  </si>
  <si>
    <t>ORDER00275</t>
  </si>
  <si>
    <t>ORDER00276</t>
  </si>
  <si>
    <t>CUST0041</t>
  </si>
  <si>
    <t>ORDER00277</t>
  </si>
  <si>
    <t>CUST0034</t>
  </si>
  <si>
    <t>ORDER00278</t>
  </si>
  <si>
    <t>ORDER00279</t>
  </si>
  <si>
    <t>ORDER00280</t>
  </si>
  <si>
    <t>ORDER00281</t>
  </si>
  <si>
    <t>ORDER00282</t>
  </si>
  <si>
    <t>ORDER00283</t>
  </si>
  <si>
    <t>ORDER00284</t>
  </si>
  <si>
    <t>CUST0027</t>
  </si>
  <si>
    <t>ORDER00285</t>
  </si>
  <si>
    <t>ORDER00286</t>
  </si>
  <si>
    <t>ORDER00287</t>
  </si>
  <si>
    <t>CUST0219</t>
  </si>
  <si>
    <t>ORDER00288</t>
  </si>
  <si>
    <t>ORDER00289</t>
  </si>
  <si>
    <t>ORDER00290</t>
  </si>
  <si>
    <t>CUST0268</t>
  </si>
  <si>
    <t>ORDER00291</t>
  </si>
  <si>
    <t>ORDER00292</t>
  </si>
  <si>
    <t>ORDER00293</t>
  </si>
  <si>
    <t>CUST0190</t>
  </si>
  <si>
    <t>ORDER00294</t>
  </si>
  <si>
    <t>CUST0122</t>
  </si>
  <si>
    <t>ORDER00295</t>
  </si>
  <si>
    <t>CUST0046</t>
  </si>
  <si>
    <t>ORDER00296</t>
  </si>
  <si>
    <t>CUST0064</t>
  </si>
  <si>
    <t>ORDER00297</t>
  </si>
  <si>
    <t>ORDER00298</t>
  </si>
  <si>
    <t>CUST0193</t>
  </si>
  <si>
    <t>ORDER00299</t>
  </si>
  <si>
    <t>CUST0181</t>
  </si>
  <si>
    <t>ORDER00300</t>
  </si>
  <si>
    <t>ORDER00301</t>
  </si>
  <si>
    <t>ORDER00302</t>
  </si>
  <si>
    <t>ORDER00303</t>
  </si>
  <si>
    <t>ORDER00304</t>
  </si>
  <si>
    <t>ORDER00305</t>
  </si>
  <si>
    <t>ORDER00306</t>
  </si>
  <si>
    <t>ORDER00307</t>
  </si>
  <si>
    <t>CUST0164</t>
  </si>
  <si>
    <t>ORDER00308</t>
  </si>
  <si>
    <t>ORDER00309</t>
  </si>
  <si>
    <t>CUST0187</t>
  </si>
  <si>
    <t>ORDER00310</t>
  </si>
  <si>
    <t>ORDER00311</t>
  </si>
  <si>
    <t>CUST0232</t>
  </si>
  <si>
    <t>ORDER00312</t>
  </si>
  <si>
    <t>CUST0227</t>
  </si>
  <si>
    <t>ORDER00313</t>
  </si>
  <si>
    <t>ORDER00314</t>
  </si>
  <si>
    <t>ORDER00315</t>
  </si>
  <si>
    <t>ORDER00316</t>
  </si>
  <si>
    <t>ORDER00317</t>
  </si>
  <si>
    <t>ORDER00318</t>
  </si>
  <si>
    <t>ORDER00319</t>
  </si>
  <si>
    <t>ORDER00320</t>
  </si>
  <si>
    <t>CUST0250</t>
  </si>
  <si>
    <t>ORDER00321</t>
  </si>
  <si>
    <t>ORDER00322</t>
  </si>
  <si>
    <t>ORDER00323</t>
  </si>
  <si>
    <t>ORDER00324</t>
  </si>
  <si>
    <t>ORDER00325</t>
  </si>
  <si>
    <t>ORDER00326</t>
  </si>
  <si>
    <t>ORDER00327</t>
  </si>
  <si>
    <t>ORDER00328</t>
  </si>
  <si>
    <t>CUST0073</t>
  </si>
  <si>
    <t>ORDER00329</t>
  </si>
  <si>
    <t>ORDER00330</t>
  </si>
  <si>
    <t>ORDER00331</t>
  </si>
  <si>
    <t>ORDER00332</t>
  </si>
  <si>
    <t>CUST0129</t>
  </si>
  <si>
    <t>ORDER00333</t>
  </si>
  <si>
    <t>CUST0217</t>
  </si>
  <si>
    <t>ORDER00334</t>
  </si>
  <si>
    <t>CUST0061</t>
  </si>
  <si>
    <t>ORDER00335</t>
  </si>
  <si>
    <t>ORDER00336</t>
  </si>
  <si>
    <t>ORDER00337</t>
  </si>
  <si>
    <t>ORDER00338</t>
  </si>
  <si>
    <t>ORDER00339</t>
  </si>
  <si>
    <t>ORDER00340</t>
  </si>
  <si>
    <t>ORDER00341</t>
  </si>
  <si>
    <t>ORDER00342</t>
  </si>
  <si>
    <t>CUST0108</t>
  </si>
  <si>
    <t>ORDER00343</t>
  </si>
  <si>
    <t>ORDER00344</t>
  </si>
  <si>
    <t>CUST0102</t>
  </si>
  <si>
    <t>ORDER00345</t>
  </si>
  <si>
    <t>CUST0012</t>
  </si>
  <si>
    <t>ORDER00346</t>
  </si>
  <si>
    <t>CUST0275</t>
  </si>
  <si>
    <t>ORDER00347</t>
  </si>
  <si>
    <t>ORDER00348</t>
  </si>
  <si>
    <t>CUST0044</t>
  </si>
  <si>
    <t>ORDER00349</t>
  </si>
  <si>
    <t>ORDER00350</t>
  </si>
  <si>
    <t>CUST0057</t>
  </si>
  <si>
    <t>ORDER00351</t>
  </si>
  <si>
    <t>ORDER00352</t>
  </si>
  <si>
    <t>CUST0080</t>
  </si>
  <si>
    <t>ORDER00353</t>
  </si>
  <si>
    <t>ORDER00354</t>
  </si>
  <si>
    <t>ORDER00355</t>
  </si>
  <si>
    <t>ORDER00356</t>
  </si>
  <si>
    <t>ORDER00357</t>
  </si>
  <si>
    <t>ORDER00358</t>
  </si>
  <si>
    <t>ORDER00359</t>
  </si>
  <si>
    <t>ORDER00360</t>
  </si>
  <si>
    <t>ORDER00361</t>
  </si>
  <si>
    <t>ORDER00362</t>
  </si>
  <si>
    <t>ORDER00363</t>
  </si>
  <si>
    <t>ORDER00364</t>
  </si>
  <si>
    <t>ORDER00365</t>
  </si>
  <si>
    <t>CUST0026</t>
  </si>
  <si>
    <t>ORDER00366</t>
  </si>
  <si>
    <t>ORDER00367</t>
  </si>
  <si>
    <t>ORDER00368</t>
  </si>
  <si>
    <t>ORDER00369</t>
  </si>
  <si>
    <t>CUST0016</t>
  </si>
  <si>
    <t>ORDER00370</t>
  </si>
  <si>
    <t>CUST0199</t>
  </si>
  <si>
    <t>ORDER00371</t>
  </si>
  <si>
    <t>ORDER00372</t>
  </si>
  <si>
    <t>ORDER00373</t>
  </si>
  <si>
    <t>ORDER00374</t>
  </si>
  <si>
    <t>ORDER00375</t>
  </si>
  <si>
    <t>ORDER00376</t>
  </si>
  <si>
    <t>ORDER00377</t>
  </si>
  <si>
    <t>ORDER00378</t>
  </si>
  <si>
    <t>CUST0176</t>
  </si>
  <si>
    <t>ORDER00379</t>
  </si>
  <si>
    <t>ORDER00380</t>
  </si>
  <si>
    <t>ORDER00381</t>
  </si>
  <si>
    <t>ORDER00382</t>
  </si>
  <si>
    <t>CUST0103</t>
  </si>
  <si>
    <t>ORDER00383</t>
  </si>
  <si>
    <t>ORDER00384</t>
  </si>
  <si>
    <t>ORDER00385</t>
  </si>
  <si>
    <t>ORDER00386</t>
  </si>
  <si>
    <t>ORDER00387</t>
  </si>
  <si>
    <t>ORDER00388</t>
  </si>
  <si>
    <t>ORDER00389</t>
  </si>
  <si>
    <t>ORDER00390</t>
  </si>
  <si>
    <t>ORDER00391</t>
  </si>
  <si>
    <t>ORDER00392</t>
  </si>
  <si>
    <t>ORDER00393</t>
  </si>
  <si>
    <t>CUST0183</t>
  </si>
  <si>
    <t>ORDER00394</t>
  </si>
  <si>
    <t>ORDER00395</t>
  </si>
  <si>
    <t>ORDER00396</t>
  </si>
  <si>
    <t>ORDER00397</t>
  </si>
  <si>
    <t>ORDER00398</t>
  </si>
  <si>
    <t>ORDER00399</t>
  </si>
  <si>
    <t>ORDER00400</t>
  </si>
  <si>
    <t>ORDER00401</t>
  </si>
  <si>
    <t>ORDER00402</t>
  </si>
  <si>
    <t>CUST0170</t>
  </si>
  <si>
    <t>ORDER00403</t>
  </si>
  <si>
    <t>ORDER00404</t>
  </si>
  <si>
    <t>ORDER00405</t>
  </si>
  <si>
    <t>ORDER00406</t>
  </si>
  <si>
    <t>CUST0269</t>
  </si>
  <si>
    <t>ORDER00407</t>
  </si>
  <si>
    <t>ORDER00408</t>
  </si>
  <si>
    <t>CUST0274</t>
  </si>
  <si>
    <t>ORDER00409</t>
  </si>
  <si>
    <t>ORDER00410</t>
  </si>
  <si>
    <t>ORDER00411</t>
  </si>
  <si>
    <t>ORDER00412</t>
  </si>
  <si>
    <t>ORDER00413</t>
  </si>
  <si>
    <t>CUST0245</t>
  </si>
  <si>
    <t>ORDER00414</t>
  </si>
  <si>
    <t>ORDER00415</t>
  </si>
  <si>
    <t>CUST0185</t>
  </si>
  <si>
    <t>ORDER00416</t>
  </si>
  <si>
    <t>CUST0272</t>
  </si>
  <si>
    <t>ORDER00417</t>
  </si>
  <si>
    <t>ORDER00418</t>
  </si>
  <si>
    <t>ORDER00419</t>
  </si>
  <si>
    <t>ORDER00420</t>
  </si>
  <si>
    <t>CUST0065</t>
  </si>
  <si>
    <t>ORDER00421</t>
  </si>
  <si>
    <t>ORDER00422</t>
  </si>
  <si>
    <t>CUST0003</t>
  </si>
  <si>
    <t>ORDER00423</t>
  </si>
  <si>
    <t>CUST0142</t>
  </si>
  <si>
    <t>ORDER00424</t>
  </si>
  <si>
    <t>ORDER00425</t>
  </si>
  <si>
    <t>ORDER00426</t>
  </si>
  <si>
    <t>ORDER00427</t>
  </si>
  <si>
    <t>ORDER00428</t>
  </si>
  <si>
    <t>ORDER00429</t>
  </si>
  <si>
    <t>ORDER00430</t>
  </si>
  <si>
    <t>CUST0140</t>
  </si>
  <si>
    <t>ORDER00431</t>
  </si>
  <si>
    <t>ORDER00432</t>
  </si>
  <si>
    <t>ORDER00433</t>
  </si>
  <si>
    <t>ORDER00434</t>
  </si>
  <si>
    <t>ORDER00435</t>
  </si>
  <si>
    <t>ORDER00436</t>
  </si>
  <si>
    <t>ORDER00437</t>
  </si>
  <si>
    <t>ORDER00438</t>
  </si>
  <si>
    <t>ORDER00439</t>
  </si>
  <si>
    <t>ORDER00440</t>
  </si>
  <si>
    <t>ORDER00441</t>
  </si>
  <si>
    <t>CUST0052</t>
  </si>
  <si>
    <t>ORDER00442</t>
  </si>
  <si>
    <t>CUST0260</t>
  </si>
  <si>
    <t>ORDER00443</t>
  </si>
  <si>
    <t>ORDER00444</t>
  </si>
  <si>
    <t>CUST0072</t>
  </si>
  <si>
    <t>ORDER00445</t>
  </si>
  <si>
    <t>ORDER00446</t>
  </si>
  <si>
    <t>ORDER00447</t>
  </si>
  <si>
    <t>ORDER00448</t>
  </si>
  <si>
    <t>CUST0107</t>
  </si>
  <si>
    <t>ORDER00449</t>
  </si>
  <si>
    <t>ORDER00450</t>
  </si>
  <si>
    <t>ORDER00451</t>
  </si>
  <si>
    <t>CUST0241</t>
  </si>
  <si>
    <t>ORDER00452</t>
  </si>
  <si>
    <t>ORDER00453</t>
  </si>
  <si>
    <t>CUST0262</t>
  </si>
  <si>
    <t>ORDER00454</t>
  </si>
  <si>
    <t>ORDER00455</t>
  </si>
  <si>
    <t>ORDER00456</t>
  </si>
  <si>
    <t>ORDER00457</t>
  </si>
  <si>
    <t>ORDER00458</t>
  </si>
  <si>
    <t>ORDER00459</t>
  </si>
  <si>
    <t>ORDER00460</t>
  </si>
  <si>
    <t>ORDER00461</t>
  </si>
  <si>
    <t>CUST0099</t>
  </si>
  <si>
    <t>ORDER00462</t>
  </si>
  <si>
    <t>ORDER00463</t>
  </si>
  <si>
    <t>ORDER00464</t>
  </si>
  <si>
    <t>ORDER00465</t>
  </si>
  <si>
    <t>ORDER00466</t>
  </si>
  <si>
    <t>ORDER00467</t>
  </si>
  <si>
    <t>ORDER00468</t>
  </si>
  <si>
    <t>ORDER00469</t>
  </si>
  <si>
    <t>ORDER00470</t>
  </si>
  <si>
    <t>CUST0160</t>
  </si>
  <si>
    <t>ORDER00471</t>
  </si>
  <si>
    <t>ORDER00472</t>
  </si>
  <si>
    <t>ORDER00473</t>
  </si>
  <si>
    <t>ORDER00474</t>
  </si>
  <si>
    <t>ORDER00475</t>
  </si>
  <si>
    <t>CUST0068</t>
  </si>
  <si>
    <t>ORDER00476</t>
  </si>
  <si>
    <t>ORDER00477</t>
  </si>
  <si>
    <t>ORDER00478</t>
  </si>
  <si>
    <t>CUST0105</t>
  </si>
  <si>
    <t>ORDER00479</t>
  </si>
  <si>
    <t>ORDER00480</t>
  </si>
  <si>
    <t>ORDER00481</t>
  </si>
  <si>
    <t>ORDER00482</t>
  </si>
  <si>
    <t>ORDER00483</t>
  </si>
  <si>
    <t>ORDER00484</t>
  </si>
  <si>
    <t>ORDER00485</t>
  </si>
  <si>
    <t>ORDER00486</t>
  </si>
  <si>
    <t>ORDER00487</t>
  </si>
  <si>
    <t>ORDER00488</t>
  </si>
  <si>
    <t>ORDER00489</t>
  </si>
  <si>
    <t>ORDER00490</t>
  </si>
  <si>
    <t>CUST0124</t>
  </si>
  <si>
    <t>ORDER00491</t>
  </si>
  <si>
    <t>ORDER00492</t>
  </si>
  <si>
    <t>ORDER00493</t>
  </si>
  <si>
    <t>ORDER00494</t>
  </si>
  <si>
    <t>ORDER00495</t>
  </si>
  <si>
    <t>CUST0037</t>
  </si>
  <si>
    <t>ORDER00496</t>
  </si>
  <si>
    <t>ORDER00497</t>
  </si>
  <si>
    <t>CUST0284</t>
  </si>
  <si>
    <t>ORDER00498</t>
  </si>
  <si>
    <t>ORDER00499</t>
  </si>
  <si>
    <t>ORDER00500</t>
  </si>
  <si>
    <t>ORDER00501</t>
  </si>
  <si>
    <t>ORDER00502</t>
  </si>
  <si>
    <t>ORDER00503</t>
  </si>
  <si>
    <t>CUST0186</t>
  </si>
  <si>
    <t>ORDER00504</t>
  </si>
  <si>
    <t>CUST0056</t>
  </si>
  <si>
    <t>ORDER00505</t>
  </si>
  <si>
    <t>ORDER00506</t>
  </si>
  <si>
    <t>ORDER00507</t>
  </si>
  <si>
    <t>ORDER00508</t>
  </si>
  <si>
    <t>ORDER00509</t>
  </si>
  <si>
    <t>ORDER00510</t>
  </si>
  <si>
    <t>ORDER00511</t>
  </si>
  <si>
    <t>ORDER00512</t>
  </si>
  <si>
    <t>ORDER00513</t>
  </si>
  <si>
    <t>ORDER00514</t>
  </si>
  <si>
    <t>ORDER00515</t>
  </si>
  <si>
    <t>ORDER00516</t>
  </si>
  <si>
    <t>CUST0169</t>
  </si>
  <si>
    <t>ORDER00517</t>
  </si>
  <si>
    <t>ORDER00518</t>
  </si>
  <si>
    <t>CUST0045</t>
  </si>
  <si>
    <t>ORDER00519</t>
  </si>
  <si>
    <t>ORDER00520</t>
  </si>
  <si>
    <t>ORDER00521</t>
  </si>
  <si>
    <t>CUST0191</t>
  </si>
  <si>
    <t>ORDER00522</t>
  </si>
  <si>
    <t>CUST0155</t>
  </si>
  <si>
    <t>ORDER00523</t>
  </si>
  <si>
    <t>ORDER00524</t>
  </si>
  <si>
    <t>ORDER00525</t>
  </si>
  <si>
    <t>ORDER00526</t>
  </si>
  <si>
    <t>ORDER00527</t>
  </si>
  <si>
    <t>ORDER00528</t>
  </si>
  <si>
    <t>ORDER00529</t>
  </si>
  <si>
    <t>CUST0031</t>
  </si>
  <si>
    <t>ORDER00530</t>
  </si>
  <si>
    <t>ORDER00531</t>
  </si>
  <si>
    <t>ORDER00532</t>
  </si>
  <si>
    <t>ORDER00533</t>
  </si>
  <si>
    <t>ORDER00534</t>
  </si>
  <si>
    <t>ORDER00535</t>
  </si>
  <si>
    <t>CUST0258</t>
  </si>
  <si>
    <t>ORDER00536</t>
  </si>
  <si>
    <t>CUST0206</t>
  </si>
  <si>
    <t>ORDER00537</t>
  </si>
  <si>
    <t>CUST0077</t>
  </si>
  <si>
    <t>ORDER00538</t>
  </si>
  <si>
    <t>ORDER00539</t>
  </si>
  <si>
    <t>ORDER00540</t>
  </si>
  <si>
    <t>ORDER00541</t>
  </si>
  <si>
    <t>ORDER00542</t>
  </si>
  <si>
    <t>ORDER00543</t>
  </si>
  <si>
    <t>ORDER00544</t>
  </si>
  <si>
    <t>ORDER00545</t>
  </si>
  <si>
    <t>CUST0233</t>
  </si>
  <si>
    <t>ORDER00546</t>
  </si>
  <si>
    <t>ORDER00547</t>
  </si>
  <si>
    <t>ORDER00548</t>
  </si>
  <si>
    <t>ORDER00549</t>
  </si>
  <si>
    <t>CUST0163</t>
  </si>
  <si>
    <t>ORDER00550</t>
  </si>
  <si>
    <t>CUST0074</t>
  </si>
  <si>
    <t>ORDER00551</t>
  </si>
  <si>
    <t>ORDER00552</t>
  </si>
  <si>
    <t>ORDER00553</t>
  </si>
  <si>
    <t>ORDER00554</t>
  </si>
  <si>
    <t>ORDER00555</t>
  </si>
  <si>
    <t>ORDER00556</t>
  </si>
  <si>
    <t>ORDER00557</t>
  </si>
  <si>
    <t>ORDER00558</t>
  </si>
  <si>
    <t>CUST0242</t>
  </si>
  <si>
    <t>ORDER00559</t>
  </si>
  <si>
    <t>ORDER00560</t>
  </si>
  <si>
    <t>CUST0192</t>
  </si>
  <si>
    <t>ORDER00561</t>
  </si>
  <si>
    <t>ORDER00562</t>
  </si>
  <si>
    <t>ORDER00563</t>
  </si>
  <si>
    <t>ORDER00564</t>
  </si>
  <si>
    <t>CUST0022</t>
  </si>
  <si>
    <t>ORDER00565</t>
  </si>
  <si>
    <t>ORDER00566</t>
  </si>
  <si>
    <t>ORDER00567</t>
  </si>
  <si>
    <t>ORDER00568</t>
  </si>
  <si>
    <t>ORDER00569</t>
  </si>
  <si>
    <t>ORDER00570</t>
  </si>
  <si>
    <t>ORDER00571</t>
  </si>
  <si>
    <t>CUST0204</t>
  </si>
  <si>
    <t>ORDER00572</t>
  </si>
  <si>
    <t>ORDER00573</t>
  </si>
  <si>
    <t>ORDER00574</t>
  </si>
  <si>
    <t>ORDER00575</t>
  </si>
  <si>
    <t>ORDER00576</t>
  </si>
  <si>
    <t>ORDER00577</t>
  </si>
  <si>
    <t>CUST0033</t>
  </si>
  <si>
    <t>ORDER00578</t>
  </si>
  <si>
    <t>ORDER00579</t>
  </si>
  <si>
    <t>CUST0079</t>
  </si>
  <si>
    <t>ORDER00580</t>
  </si>
  <si>
    <t>CUST0058</t>
  </si>
  <si>
    <t>ORDER00581</t>
  </si>
  <si>
    <t>ORDER00582</t>
  </si>
  <si>
    <t>ORDER00583</t>
  </si>
  <si>
    <t>ORDER00584</t>
  </si>
  <si>
    <t>ORDER00585</t>
  </si>
  <si>
    <t>ORDER00586</t>
  </si>
  <si>
    <t>ORDER00587</t>
  </si>
  <si>
    <t>CUST0271</t>
  </si>
  <si>
    <t>ORDER00588</t>
  </si>
  <si>
    <t>ORDER00589</t>
  </si>
  <si>
    <t>ORDER00590</t>
  </si>
  <si>
    <t>ORDER00591</t>
  </si>
  <si>
    <t>ORDER00592</t>
  </si>
  <si>
    <t>ORDER00593</t>
  </si>
  <si>
    <t>ORDER00594</t>
  </si>
  <si>
    <t>ORDER00595</t>
  </si>
  <si>
    <t>ORDER00596</t>
  </si>
  <si>
    <t>ORDER00597</t>
  </si>
  <si>
    <t>ORDER00598</t>
  </si>
  <si>
    <t>ORDER00599</t>
  </si>
  <si>
    <t>ORDER00600</t>
  </si>
  <si>
    <t>CUST0021</t>
  </si>
  <si>
    <t>ORDER00601</t>
  </si>
  <si>
    <t>ORDER00602</t>
  </si>
  <si>
    <t>ORDER00603</t>
  </si>
  <si>
    <t>ORDER00604</t>
  </si>
  <si>
    <t>ORDER00605</t>
  </si>
  <si>
    <t>ORDER00606</t>
  </si>
  <si>
    <t>ORDER00607</t>
  </si>
  <si>
    <t>ORDER00608</t>
  </si>
  <si>
    <t>ORDER00609</t>
  </si>
  <si>
    <t>ORDER00610</t>
  </si>
  <si>
    <t>ORDER00611</t>
  </si>
  <si>
    <t>ORDER00612</t>
  </si>
  <si>
    <t>ORDER00613</t>
  </si>
  <si>
    <t>ORDER00614</t>
  </si>
  <si>
    <t>CUST0208</t>
  </si>
  <si>
    <t>ORDER00615</t>
  </si>
  <si>
    <t>ORDER00616</t>
  </si>
  <si>
    <t>ORDER00617</t>
  </si>
  <si>
    <t>ORDER00618</t>
  </si>
  <si>
    <t>ORDER00619</t>
  </si>
  <si>
    <t>CUST0093</t>
  </si>
  <si>
    <t>ORDER00620</t>
  </si>
  <si>
    <t>ORDER00621</t>
  </si>
  <si>
    <t>ORDER00622</t>
  </si>
  <si>
    <t>ORDER00623</t>
  </si>
  <si>
    <t>CUST0174</t>
  </si>
  <si>
    <t>ORDER00624</t>
  </si>
  <si>
    <t>CUST0050</t>
  </si>
  <si>
    <t>ORDER00625</t>
  </si>
  <si>
    <t>ORDER00626</t>
  </si>
  <si>
    <t>ORDER00627</t>
  </si>
  <si>
    <t>CUST0024</t>
  </si>
  <si>
    <t>ORDER00628</t>
  </si>
  <si>
    <t>ORDER00629</t>
  </si>
  <si>
    <t>ORDER00630</t>
  </si>
  <si>
    <t>ORDER00631</t>
  </si>
  <si>
    <t>ORDER00632</t>
  </si>
  <si>
    <t>ORDER00633</t>
  </si>
  <si>
    <t>ORDER00634</t>
  </si>
  <si>
    <t>ORDER00635</t>
  </si>
  <si>
    <t>ORDER00636</t>
  </si>
  <si>
    <t>ORDER00637</t>
  </si>
  <si>
    <t>ORDER00638</t>
  </si>
  <si>
    <t>ORDER00639</t>
  </si>
  <si>
    <t>ORDER00640</t>
  </si>
  <si>
    <t>ORDER00641</t>
  </si>
  <si>
    <t>ORDER00642</t>
  </si>
  <si>
    <t>CUST0205</t>
  </si>
  <si>
    <t>ORDER00643</t>
  </si>
  <si>
    <t>ORDER00644</t>
  </si>
  <si>
    <t>ORDER00645</t>
  </si>
  <si>
    <t>CUST0277</t>
  </si>
  <si>
    <t>ORDER00646</t>
  </si>
  <si>
    <t>ORDER00647</t>
  </si>
  <si>
    <t>ORDER00648</t>
  </si>
  <si>
    <t>ORDER00649</t>
  </si>
  <si>
    <t>ORDER00650</t>
  </si>
  <si>
    <t>ORDER00651</t>
  </si>
  <si>
    <t>ORDER00652</t>
  </si>
  <si>
    <t>ORDER00653</t>
  </si>
  <si>
    <t>ORDER00654</t>
  </si>
  <si>
    <t>ORDER00655</t>
  </si>
  <si>
    <t>ORDER00656</t>
  </si>
  <si>
    <t>ORDER00657</t>
  </si>
  <si>
    <t>ORDER00658</t>
  </si>
  <si>
    <t>ORDER00659</t>
  </si>
  <si>
    <t>ORDER00660</t>
  </si>
  <si>
    <t>ORDER00661</t>
  </si>
  <si>
    <t>ORDER00662</t>
  </si>
  <si>
    <t>ORDER00663</t>
  </si>
  <si>
    <t>ORDER00664</t>
  </si>
  <si>
    <t>ORDER00665</t>
  </si>
  <si>
    <t>ORDER00666</t>
  </si>
  <si>
    <t>ORDER00667</t>
  </si>
  <si>
    <t>ORDER00668</t>
  </si>
  <si>
    <t>ORDER00669</t>
  </si>
  <si>
    <t>ORDER00670</t>
  </si>
  <si>
    <t>ORDER00671</t>
  </si>
  <si>
    <t>ORDER00672</t>
  </si>
  <si>
    <t>ORDER00673</t>
  </si>
  <si>
    <t>ORDER00674</t>
  </si>
  <si>
    <t>CUST0116</t>
  </si>
  <si>
    <t>ORDER00675</t>
  </si>
  <si>
    <t>ORDER00676</t>
  </si>
  <si>
    <t>ORDER00677</t>
  </si>
  <si>
    <t>ORDER00678</t>
  </si>
  <si>
    <t>ORDER00679</t>
  </si>
  <si>
    <t>ORDER00680</t>
  </si>
  <si>
    <t>ORDER00681</t>
  </si>
  <si>
    <t>ORDER00682</t>
  </si>
  <si>
    <t>ORDER00683</t>
  </si>
  <si>
    <t>ORDER00684</t>
  </si>
  <si>
    <t>ORDER00685</t>
  </si>
  <si>
    <t>ORDER00686</t>
  </si>
  <si>
    <t>ORDER00687</t>
  </si>
  <si>
    <t>ORDER00688</t>
  </si>
  <si>
    <t>ORDER00689</t>
  </si>
  <si>
    <t>ORDER00690</t>
  </si>
  <si>
    <t>ORDER00691</t>
  </si>
  <si>
    <t>ORDER00692</t>
  </si>
  <si>
    <t>ORDER00693</t>
  </si>
  <si>
    <t>ORDER00694</t>
  </si>
  <si>
    <t>ORDER00695</t>
  </si>
  <si>
    <t>ORDER00696</t>
  </si>
  <si>
    <t>ORDER00697</t>
  </si>
  <si>
    <t>ORDER00698</t>
  </si>
  <si>
    <t>ORDER00699</t>
  </si>
  <si>
    <t>ORDER00700</t>
  </si>
  <si>
    <t>ORDER00701</t>
  </si>
  <si>
    <t>ORDER00702</t>
  </si>
  <si>
    <t>ORDER00703</t>
  </si>
  <si>
    <t>ORDER00704</t>
  </si>
  <si>
    <t>ORDER00705</t>
  </si>
  <si>
    <t>ORDER00706</t>
  </si>
  <si>
    <t>ORDER00707</t>
  </si>
  <si>
    <t>ORDER00708</t>
  </si>
  <si>
    <t>ORDER00709</t>
  </si>
  <si>
    <t>ORDER00710</t>
  </si>
  <si>
    <t>ORDER00711</t>
  </si>
  <si>
    <t>ORDER00712</t>
  </si>
  <si>
    <t>ORDER00713</t>
  </si>
  <si>
    <t>CUST0238</t>
  </si>
  <si>
    <t>ORDER00714</t>
  </si>
  <si>
    <t>ORDER00715</t>
  </si>
  <si>
    <t>CUST0221</t>
  </si>
  <si>
    <t>ORDER00716</t>
  </si>
  <si>
    <t>ORDER00717</t>
  </si>
  <si>
    <t>ORDER00718</t>
  </si>
  <si>
    <t>ORDER00719</t>
  </si>
  <si>
    <t>CUST0300</t>
  </si>
  <si>
    <t>ORDER00720</t>
  </si>
  <si>
    <t>ORDER00721</t>
  </si>
  <si>
    <t>ORDER00722</t>
  </si>
  <si>
    <t>ORDER00723</t>
  </si>
  <si>
    <t>ORDER00724</t>
  </si>
  <si>
    <t>ORDER00725</t>
  </si>
  <si>
    <t>ORDER00726</t>
  </si>
  <si>
    <t>ORDER00727</t>
  </si>
  <si>
    <t>ORDER00728</t>
  </si>
  <si>
    <t>ORDER00729</t>
  </si>
  <si>
    <t>ORDER00730</t>
  </si>
  <si>
    <t>CUST0207</t>
  </si>
  <si>
    <t>ORDER00731</t>
  </si>
  <si>
    <t>ORDER00732</t>
  </si>
  <si>
    <t>ORDER00733</t>
  </si>
  <si>
    <t>ORDER00734</t>
  </si>
  <si>
    <t>ORDER00735</t>
  </si>
  <si>
    <t>ORDER00736</t>
  </si>
  <si>
    <t>CUST0220</t>
  </si>
  <si>
    <t>ORDER00737</t>
  </si>
  <si>
    <t>ORDER00738</t>
  </si>
  <si>
    <t>ORDER00739</t>
  </si>
  <si>
    <t>ORDER00740</t>
  </si>
  <si>
    <t>ORDER00741</t>
  </si>
  <si>
    <t>ORDER00742</t>
  </si>
  <si>
    <t>ORDER00743</t>
  </si>
  <si>
    <t>ORDER00744</t>
  </si>
  <si>
    <t>ORDER00745</t>
  </si>
  <si>
    <t>ORDER00746</t>
  </si>
  <si>
    <t>CUST0066</t>
  </si>
  <si>
    <t>ORDER00747</t>
  </si>
  <si>
    <t>ORDER00748</t>
  </si>
  <si>
    <t>ORDER00749</t>
  </si>
  <si>
    <t>ORDER00750</t>
  </si>
  <si>
    <t>ORDER00751</t>
  </si>
  <si>
    <t>ORDER00752</t>
  </si>
  <si>
    <t>ORDER00753</t>
  </si>
  <si>
    <t>ORDER00754</t>
  </si>
  <si>
    <t>ORDER00755</t>
  </si>
  <si>
    <t>ORDER00756</t>
  </si>
  <si>
    <t>ORDER00757</t>
  </si>
  <si>
    <t>ORDER00758</t>
  </si>
  <si>
    <t>ORDER00759</t>
  </si>
  <si>
    <t>ORDER00760</t>
  </si>
  <si>
    <t>ORDER00761</t>
  </si>
  <si>
    <t>ORDER00762</t>
  </si>
  <si>
    <t>CUST0100</t>
  </si>
  <si>
    <t>ORDER00763</t>
  </si>
  <si>
    <t>CUST0240</t>
  </si>
  <si>
    <t>ORDER00764</t>
  </si>
  <si>
    <t>ORDER00765</t>
  </si>
  <si>
    <t>CUST0298</t>
  </si>
  <si>
    <t>ORDER00766</t>
  </si>
  <si>
    <t>ORDER00767</t>
  </si>
  <si>
    <t>ORDER00768</t>
  </si>
  <si>
    <t>ORDER00769</t>
  </si>
  <si>
    <t>ORDER00770</t>
  </si>
  <si>
    <t>ORDER00771</t>
  </si>
  <si>
    <t>ORDER00772</t>
  </si>
  <si>
    <t>ORDER00773</t>
  </si>
  <si>
    <t>ORDER00774</t>
  </si>
  <si>
    <t>ORDER00775</t>
  </si>
  <si>
    <t>ORDER00776</t>
  </si>
  <si>
    <t>ORDER00777</t>
  </si>
  <si>
    <t>CUST0028</t>
  </si>
  <si>
    <t>ORDER00778</t>
  </si>
  <si>
    <t>ORDER00779</t>
  </si>
  <si>
    <t>ORDER00780</t>
  </si>
  <si>
    <t>ORDER00781</t>
  </si>
  <si>
    <t>ORDER00782</t>
  </si>
  <si>
    <t>ORDER00783</t>
  </si>
  <si>
    <t>ORDER00784</t>
  </si>
  <si>
    <t>ORDER00785</t>
  </si>
  <si>
    <t>ORDER00786</t>
  </si>
  <si>
    <t>ORDER00787</t>
  </si>
  <si>
    <t>ORDER00788</t>
  </si>
  <si>
    <t>ORDER00789</t>
  </si>
  <si>
    <t>ORDER00790</t>
  </si>
  <si>
    <t>ORDER00791</t>
  </si>
  <si>
    <t>ORDER00792</t>
  </si>
  <si>
    <t>ORDER00793</t>
  </si>
  <si>
    <t>CUST0276</t>
  </si>
  <si>
    <t>ORDER00794</t>
  </si>
  <si>
    <t>ORDER00795</t>
  </si>
  <si>
    <t>ORDER00796</t>
  </si>
  <si>
    <t>ORDER00797</t>
  </si>
  <si>
    <t>ORDER00798</t>
  </si>
  <si>
    <t>ORDER00799</t>
  </si>
  <si>
    <t>CUST0121</t>
  </si>
  <si>
    <t>ORDER00800</t>
  </si>
  <si>
    <t>ORDER00801</t>
  </si>
  <si>
    <t>ORDER00802</t>
  </si>
  <si>
    <t>ORDER00803</t>
  </si>
  <si>
    <t>ORDER00804</t>
  </si>
  <si>
    <t>ORDER00805</t>
  </si>
  <si>
    <t>ORDER00806</t>
  </si>
  <si>
    <t>ORDER00807</t>
  </si>
  <si>
    <t>ORDER00808</t>
  </si>
  <si>
    <t>ORDER00809</t>
  </si>
  <si>
    <t>ORDER00810</t>
  </si>
  <si>
    <t>ORDER00811</t>
  </si>
  <si>
    <t>ORDER00812</t>
  </si>
  <si>
    <t>ORDER00813</t>
  </si>
  <si>
    <t>ORDER00814</t>
  </si>
  <si>
    <t>ORDER00815</t>
  </si>
  <si>
    <t>ORDER00816</t>
  </si>
  <si>
    <t>ORDER00817</t>
  </si>
  <si>
    <t>ORDER00818</t>
  </si>
  <si>
    <t>ORDER00819</t>
  </si>
  <si>
    <t>ORDER00820</t>
  </si>
  <si>
    <t>ORDER00821</t>
  </si>
  <si>
    <t>ORDER00822</t>
  </si>
  <si>
    <t>ORDER00823</t>
  </si>
  <si>
    <t>ORDER00824</t>
  </si>
  <si>
    <t>ORDER00825</t>
  </si>
  <si>
    <t>ORDER00826</t>
  </si>
  <si>
    <t>ORDER00827</t>
  </si>
  <si>
    <t>ORDER00828</t>
  </si>
  <si>
    <t>ORDER00829</t>
  </si>
  <si>
    <t>ORDER00830</t>
  </si>
  <si>
    <t>ORDER00831</t>
  </si>
  <si>
    <t>CUST0126</t>
  </si>
  <si>
    <t>ORDER00832</t>
  </si>
  <si>
    <t>ORDER00833</t>
  </si>
  <si>
    <t>ORDER00834</t>
  </si>
  <si>
    <t>ORDER00835</t>
  </si>
  <si>
    <t>ORDER00836</t>
  </si>
  <si>
    <t>ORDER00837</t>
  </si>
  <si>
    <t>ORDER00838</t>
  </si>
  <si>
    <t>ORDER00839</t>
  </si>
  <si>
    <t>ORDER00840</t>
  </si>
  <si>
    <t>ORDER00841</t>
  </si>
  <si>
    <t>ORDER00842</t>
  </si>
  <si>
    <t>ORDER00843</t>
  </si>
  <si>
    <t>ORDER00844</t>
  </si>
  <si>
    <t>ORDER00845</t>
  </si>
  <si>
    <t>ORDER00846</t>
  </si>
  <si>
    <t>ORDER00847</t>
  </si>
  <si>
    <t>ORDER00848</t>
  </si>
  <si>
    <t>ORDER00849</t>
  </si>
  <si>
    <t>ORDER00850</t>
  </si>
  <si>
    <t>CUST0290</t>
  </si>
  <si>
    <t>ORDER00851</t>
  </si>
  <si>
    <t>ORDER00852</t>
  </si>
  <si>
    <t>ORDER00853</t>
  </si>
  <si>
    <t>ORDER00854</t>
  </si>
  <si>
    <t>ORDER00855</t>
  </si>
  <si>
    <t>ORDER00856</t>
  </si>
  <si>
    <t>ORDER00857</t>
  </si>
  <si>
    <t>ORDER00858</t>
  </si>
  <si>
    <t>ORDER00859</t>
  </si>
  <si>
    <t>ORDER00860</t>
  </si>
  <si>
    <t>ORDER00861</t>
  </si>
  <si>
    <t>ORDER00862</t>
  </si>
  <si>
    <t>ORDER00863</t>
  </si>
  <si>
    <t>ORDER00864</t>
  </si>
  <si>
    <t>ORDER00865</t>
  </si>
  <si>
    <t>ORDER00866</t>
  </si>
  <si>
    <t>ORDER00867</t>
  </si>
  <si>
    <t>ORDER00868</t>
  </si>
  <si>
    <t>ORDER00869</t>
  </si>
  <si>
    <t>ORDER00870</t>
  </si>
  <si>
    <t>ORDER00871</t>
  </si>
  <si>
    <t>ORDER00872</t>
  </si>
  <si>
    <t>ORDER00873</t>
  </si>
  <si>
    <t>ORDER00874</t>
  </si>
  <si>
    <t>ORDER00875</t>
  </si>
  <si>
    <t>ORDER00876</t>
  </si>
  <si>
    <t>ORDER00877</t>
  </si>
  <si>
    <t>ORDER00878</t>
  </si>
  <si>
    <t>ORDER00879</t>
  </si>
  <si>
    <t>ORDER00880</t>
  </si>
  <si>
    <t>ORDER00881</t>
  </si>
  <si>
    <t>ORDER00882</t>
  </si>
  <si>
    <t>ORDER00883</t>
  </si>
  <si>
    <t>ORDER00884</t>
  </si>
  <si>
    <t>ORDER00885</t>
  </si>
  <si>
    <t>ORDER00886</t>
  </si>
  <si>
    <t>ORDER00887</t>
  </si>
  <si>
    <t>CUST0279</t>
  </si>
  <si>
    <t>ORDER00888</t>
  </si>
  <si>
    <t>ORDER00889</t>
  </si>
  <si>
    <t>ORDER00890</t>
  </si>
  <si>
    <t>ORDER00891</t>
  </si>
  <si>
    <t>ORDER00892</t>
  </si>
  <si>
    <t>ORDER00893</t>
  </si>
  <si>
    <t>ORDER00894</t>
  </si>
  <si>
    <t>ORDER00895</t>
  </si>
  <si>
    <t>ORDER00896</t>
  </si>
  <si>
    <t>ORDER00897</t>
  </si>
  <si>
    <t>ORDER00898</t>
  </si>
  <si>
    <t>ORDER00899</t>
  </si>
  <si>
    <t>ORDER00900</t>
  </si>
  <si>
    <t>ORDER00901</t>
  </si>
  <si>
    <t>ORDER00902</t>
  </si>
  <si>
    <t>ORDER00903</t>
  </si>
  <si>
    <t>ORDER00904</t>
  </si>
  <si>
    <t>ORDER00905</t>
  </si>
  <si>
    <t>ORDER00906</t>
  </si>
  <si>
    <t>ORDER00907</t>
  </si>
  <si>
    <t>ORDER00908</t>
  </si>
  <si>
    <t>ORDER00909</t>
  </si>
  <si>
    <t>ORDER00910</t>
  </si>
  <si>
    <t>ORDER00911</t>
  </si>
  <si>
    <t>ORDER00912</t>
  </si>
  <si>
    <t>ORDER00913</t>
  </si>
  <si>
    <t>ORDER00914</t>
  </si>
  <si>
    <t>ORDER00915</t>
  </si>
  <si>
    <t>ORDER00916</t>
  </si>
  <si>
    <t>CUST0043</t>
  </si>
  <si>
    <t>ORDER00917</t>
  </si>
  <si>
    <t>ORDER00918</t>
  </si>
  <si>
    <t>ORDER00919</t>
  </si>
  <si>
    <t>ORDER00920</t>
  </si>
  <si>
    <t>ORDER00921</t>
  </si>
  <si>
    <t>ORDER00922</t>
  </si>
  <si>
    <t>ORDER00923</t>
  </si>
  <si>
    <t>CUST0203</t>
  </si>
  <si>
    <t>ORDER00924</t>
  </si>
  <si>
    <t>ORDER00925</t>
  </si>
  <si>
    <t>ORDER00926</t>
  </si>
  <si>
    <t>ORDER00927</t>
  </si>
  <si>
    <t>ORDER00928</t>
  </si>
  <si>
    <t>ORDER00929</t>
  </si>
  <si>
    <t>ORDER00930</t>
  </si>
  <si>
    <t>ORDER00931</t>
  </si>
  <si>
    <t>ORDER00932</t>
  </si>
  <si>
    <t>ORDER00933</t>
  </si>
  <si>
    <t>ORDER00934</t>
  </si>
  <si>
    <t>ORDER00935</t>
  </si>
  <si>
    <t>ORDER00936</t>
  </si>
  <si>
    <t>ORDER00937</t>
  </si>
  <si>
    <t>ORDER00938</t>
  </si>
  <si>
    <t>ORDER00939</t>
  </si>
  <si>
    <t>ORDER00940</t>
  </si>
  <si>
    <t>ORDER00941</t>
  </si>
  <si>
    <t>ORDER00942</t>
  </si>
  <si>
    <t>ORDER00943</t>
  </si>
  <si>
    <t>ORDER00944</t>
  </si>
  <si>
    <t>ORDER00945</t>
  </si>
  <si>
    <t>ORDER00946</t>
  </si>
  <si>
    <t>ORDER00947</t>
  </si>
  <si>
    <t>ORDER00948</t>
  </si>
  <si>
    <t>ORDER00949</t>
  </si>
  <si>
    <t>ORDER00950</t>
  </si>
  <si>
    <t>CUST0071</t>
  </si>
  <si>
    <t>ORDER00951</t>
  </si>
  <si>
    <t>ORDER00952</t>
  </si>
  <si>
    <t>ORDER00953</t>
  </si>
  <si>
    <t>ORDER00954</t>
  </si>
  <si>
    <t>ORDER00955</t>
  </si>
  <si>
    <t>ORDER00956</t>
  </si>
  <si>
    <t>ORDER00957</t>
  </si>
  <si>
    <t>ORDER00958</t>
  </si>
  <si>
    <t>ORDER00959</t>
  </si>
  <si>
    <t>ORDER00960</t>
  </si>
  <si>
    <t>ORDER00961</t>
  </si>
  <si>
    <t>ORDER00962</t>
  </si>
  <si>
    <t>ORDER00963</t>
  </si>
  <si>
    <t>ORDER00964</t>
  </si>
  <si>
    <t>ORDER00965</t>
  </si>
  <si>
    <t>ORDER00966</t>
  </si>
  <si>
    <t>ORDER00967</t>
  </si>
  <si>
    <t>ORDER00968</t>
  </si>
  <si>
    <t>ORDER00969</t>
  </si>
  <si>
    <t>ORDER00970</t>
  </si>
  <si>
    <t>ORDER00971</t>
  </si>
  <si>
    <t>ORDER00972</t>
  </si>
  <si>
    <t>ORDER00973</t>
  </si>
  <si>
    <t>ORDER00974</t>
  </si>
  <si>
    <t>ORDER00975</t>
  </si>
  <si>
    <t>ORDER00976</t>
  </si>
  <si>
    <t>ORDER00977</t>
  </si>
  <si>
    <t>ORDER00978</t>
  </si>
  <si>
    <t>ORDER00979</t>
  </si>
  <si>
    <t>ORDER00980</t>
  </si>
  <si>
    <t>ORDER00981</t>
  </si>
  <si>
    <t>ORDER00982</t>
  </si>
  <si>
    <t>ORDER00983</t>
  </si>
  <si>
    <t>CUST0167</t>
  </si>
  <si>
    <t>ORDER00984</t>
  </si>
  <si>
    <t>ORDER00985</t>
  </si>
  <si>
    <t>ORDER00986</t>
  </si>
  <si>
    <t>ORDER00987</t>
  </si>
  <si>
    <t>ORDER00988</t>
  </si>
  <si>
    <t>ORDER00989</t>
  </si>
  <si>
    <t>ORDER00990</t>
  </si>
  <si>
    <t>ORDER00991</t>
  </si>
  <si>
    <t>ORDER00992</t>
  </si>
  <si>
    <t>ORDER00993</t>
  </si>
  <si>
    <t>ORDER00994</t>
  </si>
  <si>
    <t>ORDER00995</t>
  </si>
  <si>
    <t>ORDER00996</t>
  </si>
  <si>
    <t>ORDER00997</t>
  </si>
  <si>
    <t>ORDER00998</t>
  </si>
  <si>
    <t>ORDER00999</t>
  </si>
  <si>
    <t>ORDER01000</t>
  </si>
  <si>
    <t>Row Labels</t>
  </si>
  <si>
    <t>Grand Total</t>
  </si>
  <si>
    <t>Max of OrderDate</t>
  </si>
  <si>
    <t>Count of OrderID</t>
  </si>
  <si>
    <t>Sum of OrderValue</t>
  </si>
  <si>
    <t>Customer ID</t>
  </si>
  <si>
    <t>Recency(Days)</t>
  </si>
  <si>
    <t>Frequency(N)</t>
  </si>
  <si>
    <t>Monetary($)</t>
  </si>
  <si>
    <t>RFM Table</t>
  </si>
  <si>
    <t>Recency Score</t>
  </si>
  <si>
    <t>Frequency Score</t>
  </si>
  <si>
    <t>Monetary score</t>
  </si>
  <si>
    <t>RFM Score</t>
  </si>
  <si>
    <t>RFM Classification</t>
  </si>
  <si>
    <t>At Risk</t>
  </si>
  <si>
    <t>Best Customers</t>
  </si>
  <si>
    <t>Loyal Customers</t>
  </si>
  <si>
    <t>Need Attention</t>
  </si>
  <si>
    <t>Potential Customers</t>
  </si>
  <si>
    <t>Count of Customer ID</t>
  </si>
  <si>
    <t>Average of RFM Score</t>
  </si>
  <si>
    <t>Sum of Monetary($)</t>
  </si>
  <si>
    <t>Sum of Frequency(N)</t>
  </si>
  <si>
    <t>Average of Frequency(N)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</si>
</sst>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3" x14ac:knownFonts="1">
    <font>
      <sz val="11"/>
      <color theme="1"/>
      <name val="Calibri"/>
      <family val="2"/>
      <scheme val="minor"/>
    </font>
    <font>
      <sz val="10"/>
      <color theme="0"/>
      <name val="Segoe UI"/>
      <family val="2"/>
    </font>
    <font>
      <b/>
      <sz val="16"/>
      <color theme="1"/>
      <name val="Segoe Fluent Icons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70" fontId="0" fillId="0" borderId="0" xfId="0" applyNumberFormat="1"/>
    <xf numFmtId="1" fontId="0" fillId="0" borderId="0" xfId="0" applyNumberFormat="1"/>
    <xf numFmtId="0" fontId="0" fillId="0" borderId="10" xfId="0" applyBorder="1"/>
    <xf numFmtId="1" fontId="0" fillId="0" borderId="10" xfId="0" applyNumberFormat="1" applyBorder="1"/>
    <xf numFmtId="0" fontId="1" fillId="2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2">
    <dxf>
      <numFmt numFmtId="170" formatCode="0.0"/>
    </dxf>
    <dxf>
      <numFmt numFmtId="170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[RFM analysis.xlsx]Pivot table!PivotTable2</c:name>
    <c:fmtId val="1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848192363051394E-2"/>
          <c:y val="7.3260073260073263E-2"/>
          <c:w val="0.94534161490683233"/>
          <c:h val="0.706452637626305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table'!$A$4:$A$9</c:f>
              <c:strCache>
                <c:ptCount val="5"/>
                <c:pt idx="0">
                  <c:v>At Risk</c:v>
                </c:pt>
                <c:pt idx="1">
                  <c:v>Best Customers</c:v>
                </c:pt>
                <c:pt idx="2">
                  <c:v>Loyal Customers</c:v>
                </c:pt>
                <c:pt idx="3">
                  <c:v>Need Attention</c:v>
                </c:pt>
                <c:pt idx="4">
                  <c:v>Potential Customers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75</c:v>
                </c:pt>
                <c:pt idx="3">
                  <c:v>66</c:v>
                </c:pt>
                <c:pt idx="4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D-4FB9-A559-B667F39305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6370976"/>
        <c:axId val="716397856"/>
      </c:barChart>
      <c:catAx>
        <c:axId val="7163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397856"/>
        <c:crosses val="autoZero"/>
        <c:auto val="1"/>
        <c:lblAlgn val="ctr"/>
        <c:lblOffset val="100"/>
        <c:noMultiLvlLbl val="0"/>
      </c:catAx>
      <c:valAx>
        <c:axId val="7163978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16370976"/>
        <c:crosses val="autoZero"/>
        <c:crossBetween val="between"/>
      </c:valAx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Monetary</a:t>
            </a:r>
            <a:r>
              <a:rPr lang="en-US" baseline="0"/>
              <a:t> Vs. Recency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'RFM Analysis Table'!$J$3:$J$289</c:f>
              <c:numCache>
                <c:formatCode>0</c:formatCode>
                <c:ptCount val="287"/>
                <c:pt idx="0">
                  <c:v>99.656990740739275</c:v>
                </c:pt>
                <c:pt idx="1">
                  <c:v>69.656990740739275</c:v>
                </c:pt>
                <c:pt idx="2">
                  <c:v>207.65699074073927</c:v>
                </c:pt>
                <c:pt idx="3">
                  <c:v>119.65699074073927</c:v>
                </c:pt>
                <c:pt idx="4">
                  <c:v>83.656990740739275</c:v>
                </c:pt>
                <c:pt idx="5">
                  <c:v>211.65699074073927</c:v>
                </c:pt>
                <c:pt idx="6">
                  <c:v>113.65699074073927</c:v>
                </c:pt>
                <c:pt idx="7">
                  <c:v>88.656990740739275</c:v>
                </c:pt>
                <c:pt idx="8">
                  <c:v>93.656990740739275</c:v>
                </c:pt>
                <c:pt idx="9">
                  <c:v>86.656990740739275</c:v>
                </c:pt>
                <c:pt idx="10">
                  <c:v>111.65699074073927</c:v>
                </c:pt>
                <c:pt idx="11">
                  <c:v>77.656990740739275</c:v>
                </c:pt>
                <c:pt idx="12">
                  <c:v>136.65699074073927</c:v>
                </c:pt>
                <c:pt idx="13">
                  <c:v>182.65699074073927</c:v>
                </c:pt>
                <c:pt idx="14">
                  <c:v>244.65699074073927</c:v>
                </c:pt>
                <c:pt idx="15">
                  <c:v>161.65699074073927</c:v>
                </c:pt>
                <c:pt idx="16">
                  <c:v>201.65699074073927</c:v>
                </c:pt>
                <c:pt idx="17">
                  <c:v>134.65699074073927</c:v>
                </c:pt>
                <c:pt idx="18">
                  <c:v>161.65699074073927</c:v>
                </c:pt>
                <c:pt idx="19">
                  <c:v>195.65699074073927</c:v>
                </c:pt>
                <c:pt idx="20">
                  <c:v>77.656990740739275</c:v>
                </c:pt>
                <c:pt idx="21">
                  <c:v>160.65699074073927</c:v>
                </c:pt>
                <c:pt idx="22">
                  <c:v>142.65699074073927</c:v>
                </c:pt>
                <c:pt idx="23">
                  <c:v>109.65699074073927</c:v>
                </c:pt>
                <c:pt idx="24">
                  <c:v>211.65699074073927</c:v>
                </c:pt>
                <c:pt idx="25">
                  <c:v>198.65699074073927</c:v>
                </c:pt>
                <c:pt idx="26">
                  <c:v>183.65699074073927</c:v>
                </c:pt>
                <c:pt idx="27">
                  <c:v>130.65699074073927</c:v>
                </c:pt>
                <c:pt idx="28">
                  <c:v>341.65699074073927</c:v>
                </c:pt>
                <c:pt idx="29">
                  <c:v>203.65699074073927</c:v>
                </c:pt>
                <c:pt idx="30">
                  <c:v>95.656990740739275</c:v>
                </c:pt>
                <c:pt idx="31">
                  <c:v>282.65699074073927</c:v>
                </c:pt>
                <c:pt idx="32">
                  <c:v>242.65699074073927</c:v>
                </c:pt>
                <c:pt idx="33">
                  <c:v>84.656990740739275</c:v>
                </c:pt>
                <c:pt idx="34">
                  <c:v>145.65699074073927</c:v>
                </c:pt>
                <c:pt idx="35">
                  <c:v>124.65699074073927</c:v>
                </c:pt>
                <c:pt idx="36">
                  <c:v>92.656990740739275</c:v>
                </c:pt>
                <c:pt idx="37">
                  <c:v>98.656990740739275</c:v>
                </c:pt>
                <c:pt idx="38">
                  <c:v>261.65699074073927</c:v>
                </c:pt>
                <c:pt idx="39">
                  <c:v>226.65699074073927</c:v>
                </c:pt>
                <c:pt idx="40">
                  <c:v>289.65699074073927</c:v>
                </c:pt>
                <c:pt idx="41">
                  <c:v>181.65699074073927</c:v>
                </c:pt>
                <c:pt idx="42">
                  <c:v>149.65699074073927</c:v>
                </c:pt>
                <c:pt idx="43">
                  <c:v>242.65699074073927</c:v>
                </c:pt>
                <c:pt idx="44">
                  <c:v>187.65699074073927</c:v>
                </c:pt>
                <c:pt idx="45">
                  <c:v>264.65699074073927</c:v>
                </c:pt>
                <c:pt idx="46">
                  <c:v>217.65699074073927</c:v>
                </c:pt>
                <c:pt idx="47">
                  <c:v>141.65699074073927</c:v>
                </c:pt>
                <c:pt idx="48">
                  <c:v>116.65699074073927</c:v>
                </c:pt>
                <c:pt idx="49">
                  <c:v>88.656990740739275</c:v>
                </c:pt>
                <c:pt idx="50">
                  <c:v>162.65699074073927</c:v>
                </c:pt>
                <c:pt idx="51">
                  <c:v>178.65699074073927</c:v>
                </c:pt>
                <c:pt idx="52">
                  <c:v>94.656990740739275</c:v>
                </c:pt>
                <c:pt idx="53">
                  <c:v>178.65699074073927</c:v>
                </c:pt>
                <c:pt idx="54">
                  <c:v>204.65699074073927</c:v>
                </c:pt>
                <c:pt idx="55">
                  <c:v>92.656990740739275</c:v>
                </c:pt>
                <c:pt idx="56">
                  <c:v>95.656990740739275</c:v>
                </c:pt>
                <c:pt idx="57">
                  <c:v>280.65699074073927</c:v>
                </c:pt>
                <c:pt idx="58">
                  <c:v>244.65699074073927</c:v>
                </c:pt>
                <c:pt idx="59">
                  <c:v>191.65699074073927</c:v>
                </c:pt>
                <c:pt idx="60">
                  <c:v>87.656990740739275</c:v>
                </c:pt>
                <c:pt idx="61">
                  <c:v>69.656990740739275</c:v>
                </c:pt>
                <c:pt idx="62">
                  <c:v>76.656990740739275</c:v>
                </c:pt>
                <c:pt idx="63">
                  <c:v>321.65699074073927</c:v>
                </c:pt>
                <c:pt idx="64">
                  <c:v>216.65699074073927</c:v>
                </c:pt>
                <c:pt idx="65">
                  <c:v>125.65699074073927</c:v>
                </c:pt>
                <c:pt idx="66">
                  <c:v>84.656990740739275</c:v>
                </c:pt>
                <c:pt idx="67">
                  <c:v>261.65699074073927</c:v>
                </c:pt>
                <c:pt idx="68">
                  <c:v>242.65699074073927</c:v>
                </c:pt>
                <c:pt idx="69">
                  <c:v>244.65699074073927</c:v>
                </c:pt>
                <c:pt idx="70">
                  <c:v>203.65699074073927</c:v>
                </c:pt>
                <c:pt idx="71">
                  <c:v>140.65699074073927</c:v>
                </c:pt>
                <c:pt idx="72">
                  <c:v>181.65699074073927</c:v>
                </c:pt>
                <c:pt idx="73">
                  <c:v>75.656990740739275</c:v>
                </c:pt>
                <c:pt idx="74">
                  <c:v>92.656990740739275</c:v>
                </c:pt>
                <c:pt idx="75">
                  <c:v>131.65699074073927</c:v>
                </c:pt>
                <c:pt idx="76">
                  <c:v>286.65699074073927</c:v>
                </c:pt>
                <c:pt idx="77">
                  <c:v>69.656990740739275</c:v>
                </c:pt>
                <c:pt idx="78">
                  <c:v>103.65699074073927</c:v>
                </c:pt>
                <c:pt idx="79">
                  <c:v>250.65699074073927</c:v>
                </c:pt>
                <c:pt idx="80">
                  <c:v>108.65699074073927</c:v>
                </c:pt>
                <c:pt idx="81">
                  <c:v>214.65699074073927</c:v>
                </c:pt>
                <c:pt idx="82">
                  <c:v>209.65699074073927</c:v>
                </c:pt>
                <c:pt idx="83">
                  <c:v>142.65699074073927</c:v>
                </c:pt>
                <c:pt idx="84">
                  <c:v>82.656990740739275</c:v>
                </c:pt>
                <c:pt idx="85">
                  <c:v>214.65699074073927</c:v>
                </c:pt>
                <c:pt idx="86">
                  <c:v>69.656990740739275</c:v>
                </c:pt>
                <c:pt idx="87">
                  <c:v>303.65699074073927</c:v>
                </c:pt>
                <c:pt idx="88">
                  <c:v>117.65699074073927</c:v>
                </c:pt>
                <c:pt idx="89">
                  <c:v>123.65699074073927</c:v>
                </c:pt>
                <c:pt idx="90">
                  <c:v>243.65699074073927</c:v>
                </c:pt>
                <c:pt idx="91">
                  <c:v>69.656990740739275</c:v>
                </c:pt>
                <c:pt idx="92">
                  <c:v>85.656990740739275</c:v>
                </c:pt>
                <c:pt idx="93">
                  <c:v>301.65699074073927</c:v>
                </c:pt>
                <c:pt idx="94">
                  <c:v>243.65699074073927</c:v>
                </c:pt>
                <c:pt idx="95">
                  <c:v>71.656990740739275</c:v>
                </c:pt>
                <c:pt idx="96">
                  <c:v>398.65699074073927</c:v>
                </c:pt>
                <c:pt idx="97">
                  <c:v>88.656990740739275</c:v>
                </c:pt>
                <c:pt idx="98">
                  <c:v>334.65699074073927</c:v>
                </c:pt>
                <c:pt idx="99">
                  <c:v>104.65699074073927</c:v>
                </c:pt>
                <c:pt idx="100">
                  <c:v>195.65699074073927</c:v>
                </c:pt>
                <c:pt idx="101">
                  <c:v>149.65699074073927</c:v>
                </c:pt>
                <c:pt idx="102">
                  <c:v>397.65699074073927</c:v>
                </c:pt>
                <c:pt idx="103">
                  <c:v>160.65699074073927</c:v>
                </c:pt>
                <c:pt idx="104">
                  <c:v>74.656990740739275</c:v>
                </c:pt>
                <c:pt idx="105">
                  <c:v>179.65699074073927</c:v>
                </c:pt>
                <c:pt idx="106">
                  <c:v>116.65699074073927</c:v>
                </c:pt>
                <c:pt idx="107">
                  <c:v>154.65699074073927</c:v>
                </c:pt>
                <c:pt idx="108">
                  <c:v>167.65699074073927</c:v>
                </c:pt>
                <c:pt idx="109">
                  <c:v>201.65699074073927</c:v>
                </c:pt>
                <c:pt idx="110">
                  <c:v>83.656990740739275</c:v>
                </c:pt>
                <c:pt idx="111">
                  <c:v>150.65699074073927</c:v>
                </c:pt>
                <c:pt idx="112">
                  <c:v>122.65699074073927</c:v>
                </c:pt>
                <c:pt idx="113">
                  <c:v>92.656990740739275</c:v>
                </c:pt>
                <c:pt idx="114">
                  <c:v>185.65699074073927</c:v>
                </c:pt>
                <c:pt idx="115">
                  <c:v>124.65699074073927</c:v>
                </c:pt>
                <c:pt idx="116">
                  <c:v>130.65699074073927</c:v>
                </c:pt>
                <c:pt idx="117">
                  <c:v>254.65699074073927</c:v>
                </c:pt>
                <c:pt idx="118">
                  <c:v>267.65699074073927</c:v>
                </c:pt>
                <c:pt idx="119">
                  <c:v>250.65699074073927</c:v>
                </c:pt>
                <c:pt idx="120">
                  <c:v>206.65699074073927</c:v>
                </c:pt>
                <c:pt idx="121">
                  <c:v>96.656990740739275</c:v>
                </c:pt>
                <c:pt idx="122">
                  <c:v>214.65699074073927</c:v>
                </c:pt>
                <c:pt idx="123">
                  <c:v>219.65699074073927</c:v>
                </c:pt>
                <c:pt idx="124">
                  <c:v>80.656990740739275</c:v>
                </c:pt>
                <c:pt idx="125">
                  <c:v>145.65699074073927</c:v>
                </c:pt>
                <c:pt idx="126">
                  <c:v>106.65699074073927</c:v>
                </c:pt>
                <c:pt idx="127">
                  <c:v>170.65699074073927</c:v>
                </c:pt>
                <c:pt idx="128">
                  <c:v>96.656990740739275</c:v>
                </c:pt>
                <c:pt idx="129">
                  <c:v>75.656990740739275</c:v>
                </c:pt>
                <c:pt idx="130">
                  <c:v>245.65699074073927</c:v>
                </c:pt>
                <c:pt idx="131">
                  <c:v>276.65699074073927</c:v>
                </c:pt>
                <c:pt idx="132">
                  <c:v>103.65699074073927</c:v>
                </c:pt>
                <c:pt idx="133">
                  <c:v>79.656990740739275</c:v>
                </c:pt>
                <c:pt idx="134">
                  <c:v>118.65699074073927</c:v>
                </c:pt>
                <c:pt idx="135">
                  <c:v>152.65699074073927</c:v>
                </c:pt>
                <c:pt idx="136">
                  <c:v>192.65699074073927</c:v>
                </c:pt>
                <c:pt idx="137">
                  <c:v>119.65699074073927</c:v>
                </c:pt>
                <c:pt idx="138">
                  <c:v>166.65699074073927</c:v>
                </c:pt>
                <c:pt idx="139">
                  <c:v>90.656990740739275</c:v>
                </c:pt>
                <c:pt idx="140">
                  <c:v>114.65699074073927</c:v>
                </c:pt>
                <c:pt idx="141">
                  <c:v>315.65699074073927</c:v>
                </c:pt>
                <c:pt idx="142">
                  <c:v>231.65699074073927</c:v>
                </c:pt>
                <c:pt idx="143">
                  <c:v>151.65699074073927</c:v>
                </c:pt>
                <c:pt idx="144">
                  <c:v>159.65699074073927</c:v>
                </c:pt>
                <c:pt idx="145">
                  <c:v>129.65699074073927</c:v>
                </c:pt>
                <c:pt idx="146">
                  <c:v>181.65699074073927</c:v>
                </c:pt>
                <c:pt idx="147">
                  <c:v>333.65699074073927</c:v>
                </c:pt>
                <c:pt idx="148">
                  <c:v>117.65699074073927</c:v>
                </c:pt>
                <c:pt idx="149">
                  <c:v>123.65699074073927</c:v>
                </c:pt>
                <c:pt idx="150">
                  <c:v>113.65699074073927</c:v>
                </c:pt>
                <c:pt idx="151">
                  <c:v>78.656990740739275</c:v>
                </c:pt>
                <c:pt idx="152">
                  <c:v>85.656990740739275</c:v>
                </c:pt>
                <c:pt idx="153">
                  <c:v>201.65699074073927</c:v>
                </c:pt>
                <c:pt idx="154">
                  <c:v>283.65699074073927</c:v>
                </c:pt>
                <c:pt idx="155">
                  <c:v>169.65699074073927</c:v>
                </c:pt>
                <c:pt idx="156">
                  <c:v>187.65699074073927</c:v>
                </c:pt>
                <c:pt idx="157">
                  <c:v>73.656990740739275</c:v>
                </c:pt>
                <c:pt idx="158">
                  <c:v>316.65699074073927</c:v>
                </c:pt>
                <c:pt idx="159">
                  <c:v>111.65699074073927</c:v>
                </c:pt>
                <c:pt idx="160">
                  <c:v>391.65699074073927</c:v>
                </c:pt>
                <c:pt idx="161">
                  <c:v>99.656990740739275</c:v>
                </c:pt>
                <c:pt idx="162">
                  <c:v>146.65699074073927</c:v>
                </c:pt>
                <c:pt idx="163">
                  <c:v>123.65699074073927</c:v>
                </c:pt>
                <c:pt idx="164">
                  <c:v>96.656990740739275</c:v>
                </c:pt>
                <c:pt idx="165">
                  <c:v>107.65699074073927</c:v>
                </c:pt>
                <c:pt idx="166">
                  <c:v>99.656990740739275</c:v>
                </c:pt>
                <c:pt idx="167">
                  <c:v>109.65699074073927</c:v>
                </c:pt>
                <c:pt idx="168">
                  <c:v>84.656990740739275</c:v>
                </c:pt>
                <c:pt idx="169">
                  <c:v>163.65699074073927</c:v>
                </c:pt>
                <c:pt idx="170">
                  <c:v>105.65699074073927</c:v>
                </c:pt>
                <c:pt idx="171">
                  <c:v>398.65699074073927</c:v>
                </c:pt>
                <c:pt idx="172">
                  <c:v>251.65699074073927</c:v>
                </c:pt>
                <c:pt idx="173">
                  <c:v>177.65699074073927</c:v>
                </c:pt>
                <c:pt idx="174">
                  <c:v>148.65699074073927</c:v>
                </c:pt>
                <c:pt idx="175">
                  <c:v>221.65699074073927</c:v>
                </c:pt>
                <c:pt idx="176">
                  <c:v>82.656990740739275</c:v>
                </c:pt>
                <c:pt idx="177">
                  <c:v>269.65699074073927</c:v>
                </c:pt>
                <c:pt idx="178">
                  <c:v>196.65699074073927</c:v>
                </c:pt>
                <c:pt idx="179">
                  <c:v>109.65699074073927</c:v>
                </c:pt>
                <c:pt idx="180">
                  <c:v>326.65699074073927</c:v>
                </c:pt>
                <c:pt idx="181">
                  <c:v>240.65699074073927</c:v>
                </c:pt>
                <c:pt idx="182">
                  <c:v>132.65699074073927</c:v>
                </c:pt>
                <c:pt idx="183">
                  <c:v>115.65699074073927</c:v>
                </c:pt>
                <c:pt idx="184">
                  <c:v>201.65699074073927</c:v>
                </c:pt>
                <c:pt idx="185">
                  <c:v>291.65699074073927</c:v>
                </c:pt>
                <c:pt idx="186">
                  <c:v>77.656990740739275</c:v>
                </c:pt>
                <c:pt idx="187">
                  <c:v>217.65699074073927</c:v>
                </c:pt>
                <c:pt idx="188">
                  <c:v>194.65699074073927</c:v>
                </c:pt>
                <c:pt idx="189">
                  <c:v>111.65699074073927</c:v>
                </c:pt>
                <c:pt idx="190">
                  <c:v>122.65699074073927</c:v>
                </c:pt>
                <c:pt idx="191">
                  <c:v>74.656990740739275</c:v>
                </c:pt>
                <c:pt idx="192">
                  <c:v>88.656990740739275</c:v>
                </c:pt>
                <c:pt idx="193">
                  <c:v>82.656990740739275</c:v>
                </c:pt>
                <c:pt idx="194">
                  <c:v>325.65699074073927</c:v>
                </c:pt>
                <c:pt idx="195">
                  <c:v>86.656990740739275</c:v>
                </c:pt>
                <c:pt idx="196">
                  <c:v>192.65699074073927</c:v>
                </c:pt>
                <c:pt idx="197">
                  <c:v>252.65699074073927</c:v>
                </c:pt>
                <c:pt idx="198">
                  <c:v>93.656990740739275</c:v>
                </c:pt>
                <c:pt idx="199">
                  <c:v>214.65699074073927</c:v>
                </c:pt>
                <c:pt idx="200">
                  <c:v>214.65699074073927</c:v>
                </c:pt>
                <c:pt idx="201">
                  <c:v>247.65699074073927</c:v>
                </c:pt>
                <c:pt idx="202">
                  <c:v>86.656990740739275</c:v>
                </c:pt>
                <c:pt idx="203">
                  <c:v>69.656990740739275</c:v>
                </c:pt>
                <c:pt idx="204">
                  <c:v>205.65699074073927</c:v>
                </c:pt>
                <c:pt idx="205">
                  <c:v>242.65699074073927</c:v>
                </c:pt>
                <c:pt idx="206">
                  <c:v>138.65699074073927</c:v>
                </c:pt>
                <c:pt idx="207">
                  <c:v>153.65699074073927</c:v>
                </c:pt>
                <c:pt idx="208">
                  <c:v>88.656990740739275</c:v>
                </c:pt>
                <c:pt idx="209">
                  <c:v>73.656990740739275</c:v>
                </c:pt>
                <c:pt idx="210">
                  <c:v>151.65699074073927</c:v>
                </c:pt>
                <c:pt idx="211">
                  <c:v>406.65699074073927</c:v>
                </c:pt>
                <c:pt idx="212">
                  <c:v>70.656990740739275</c:v>
                </c:pt>
                <c:pt idx="213">
                  <c:v>121.65699074073927</c:v>
                </c:pt>
                <c:pt idx="214">
                  <c:v>74.656990740739275</c:v>
                </c:pt>
                <c:pt idx="215">
                  <c:v>169.65699074073927</c:v>
                </c:pt>
                <c:pt idx="216">
                  <c:v>88.656990740739275</c:v>
                </c:pt>
                <c:pt idx="217">
                  <c:v>130.65699074073927</c:v>
                </c:pt>
                <c:pt idx="218">
                  <c:v>134.65699074073927</c:v>
                </c:pt>
                <c:pt idx="219">
                  <c:v>132.65699074073927</c:v>
                </c:pt>
                <c:pt idx="220">
                  <c:v>128.65699074073927</c:v>
                </c:pt>
                <c:pt idx="221">
                  <c:v>133.65699074073927</c:v>
                </c:pt>
                <c:pt idx="222">
                  <c:v>210.65699074073927</c:v>
                </c:pt>
                <c:pt idx="223">
                  <c:v>157.65699074073927</c:v>
                </c:pt>
                <c:pt idx="224">
                  <c:v>97.656990740739275</c:v>
                </c:pt>
                <c:pt idx="225">
                  <c:v>103.65699074073927</c:v>
                </c:pt>
                <c:pt idx="226">
                  <c:v>70.656990740739275</c:v>
                </c:pt>
                <c:pt idx="227">
                  <c:v>237.65699074073927</c:v>
                </c:pt>
                <c:pt idx="228">
                  <c:v>150.65699074073927</c:v>
                </c:pt>
                <c:pt idx="229">
                  <c:v>86.656990740739275</c:v>
                </c:pt>
                <c:pt idx="230">
                  <c:v>103.65699074073927</c:v>
                </c:pt>
                <c:pt idx="231">
                  <c:v>79.656990740739275</c:v>
                </c:pt>
                <c:pt idx="232">
                  <c:v>195.65699074073927</c:v>
                </c:pt>
                <c:pt idx="233">
                  <c:v>255.65699074073927</c:v>
                </c:pt>
                <c:pt idx="234">
                  <c:v>79.656990740739275</c:v>
                </c:pt>
                <c:pt idx="235">
                  <c:v>232.65699074073927</c:v>
                </c:pt>
                <c:pt idx="236">
                  <c:v>129.65699074073927</c:v>
                </c:pt>
                <c:pt idx="237">
                  <c:v>170.65699074073927</c:v>
                </c:pt>
                <c:pt idx="238">
                  <c:v>148.65699074073927</c:v>
                </c:pt>
                <c:pt idx="239">
                  <c:v>92.656990740739275</c:v>
                </c:pt>
                <c:pt idx="240">
                  <c:v>298.65699074073927</c:v>
                </c:pt>
                <c:pt idx="241">
                  <c:v>321.65699074073927</c:v>
                </c:pt>
                <c:pt idx="242">
                  <c:v>175.65699074073927</c:v>
                </c:pt>
                <c:pt idx="243">
                  <c:v>94.656990740739275</c:v>
                </c:pt>
                <c:pt idx="244">
                  <c:v>320.65699074073927</c:v>
                </c:pt>
                <c:pt idx="245">
                  <c:v>316.65699074073927</c:v>
                </c:pt>
                <c:pt idx="246">
                  <c:v>155.65699074073927</c:v>
                </c:pt>
                <c:pt idx="247">
                  <c:v>108.65699074073927</c:v>
                </c:pt>
                <c:pt idx="248">
                  <c:v>76.656990740739275</c:v>
                </c:pt>
                <c:pt idx="249">
                  <c:v>157.65699074073927</c:v>
                </c:pt>
                <c:pt idx="250">
                  <c:v>96.656990740739275</c:v>
                </c:pt>
                <c:pt idx="251">
                  <c:v>74.656990740739275</c:v>
                </c:pt>
                <c:pt idx="252">
                  <c:v>161.65699074073927</c:v>
                </c:pt>
                <c:pt idx="253">
                  <c:v>195.65699074073927</c:v>
                </c:pt>
                <c:pt idx="254">
                  <c:v>281.65699074073927</c:v>
                </c:pt>
                <c:pt idx="255">
                  <c:v>254.65699074073927</c:v>
                </c:pt>
                <c:pt idx="256">
                  <c:v>198.65699074073927</c:v>
                </c:pt>
                <c:pt idx="257">
                  <c:v>112.65699074073927</c:v>
                </c:pt>
                <c:pt idx="258">
                  <c:v>429.65699074073927</c:v>
                </c:pt>
                <c:pt idx="259">
                  <c:v>261.65699074073927</c:v>
                </c:pt>
                <c:pt idx="260">
                  <c:v>108.65699074073927</c:v>
                </c:pt>
                <c:pt idx="261">
                  <c:v>318.65699074073927</c:v>
                </c:pt>
                <c:pt idx="262">
                  <c:v>283.65699074073927</c:v>
                </c:pt>
                <c:pt idx="263">
                  <c:v>206.65699074073927</c:v>
                </c:pt>
                <c:pt idx="264">
                  <c:v>155.65699074073927</c:v>
                </c:pt>
                <c:pt idx="265">
                  <c:v>406.65699074073927</c:v>
                </c:pt>
                <c:pt idx="266">
                  <c:v>264.65699074073927</c:v>
                </c:pt>
                <c:pt idx="267">
                  <c:v>266.65699074073927</c:v>
                </c:pt>
                <c:pt idx="268">
                  <c:v>94.656990740739275</c:v>
                </c:pt>
                <c:pt idx="269">
                  <c:v>107.65699074073927</c:v>
                </c:pt>
                <c:pt idx="270">
                  <c:v>126.65699074073927</c:v>
                </c:pt>
                <c:pt idx="271">
                  <c:v>154.65699074073927</c:v>
                </c:pt>
                <c:pt idx="272">
                  <c:v>89.656990740739275</c:v>
                </c:pt>
                <c:pt idx="273">
                  <c:v>94.656990740739275</c:v>
                </c:pt>
                <c:pt idx="274">
                  <c:v>116.65699074073927</c:v>
                </c:pt>
                <c:pt idx="275">
                  <c:v>152.65699074073927</c:v>
                </c:pt>
                <c:pt idx="276">
                  <c:v>301.65699074073927</c:v>
                </c:pt>
                <c:pt idx="277">
                  <c:v>88.656990740739275</c:v>
                </c:pt>
                <c:pt idx="278">
                  <c:v>133.65699074073927</c:v>
                </c:pt>
                <c:pt idx="279">
                  <c:v>85.656990740739275</c:v>
                </c:pt>
                <c:pt idx="280">
                  <c:v>193.65699074073927</c:v>
                </c:pt>
                <c:pt idx="281">
                  <c:v>159.65699074073927</c:v>
                </c:pt>
                <c:pt idx="282">
                  <c:v>114.65699074073927</c:v>
                </c:pt>
                <c:pt idx="283">
                  <c:v>74.656990740739275</c:v>
                </c:pt>
                <c:pt idx="284">
                  <c:v>116.65699074073927</c:v>
                </c:pt>
                <c:pt idx="285">
                  <c:v>74.656990740739275</c:v>
                </c:pt>
                <c:pt idx="286">
                  <c:v>183.65699074073927</c:v>
                </c:pt>
              </c:numCache>
            </c:numRef>
          </c:xVal>
          <c:yVal>
            <c:numRef>
              <c:f>'RFM Analysis Table'!$L$3:$L$289</c:f>
              <c:numCache>
                <c:formatCode>General</c:formatCode>
                <c:ptCount val="287"/>
                <c:pt idx="0">
                  <c:v>64.5</c:v>
                </c:pt>
                <c:pt idx="1">
                  <c:v>53.9</c:v>
                </c:pt>
                <c:pt idx="2">
                  <c:v>75.75</c:v>
                </c:pt>
                <c:pt idx="3">
                  <c:v>123.07</c:v>
                </c:pt>
                <c:pt idx="4">
                  <c:v>63.34</c:v>
                </c:pt>
                <c:pt idx="5">
                  <c:v>104.63000000000001</c:v>
                </c:pt>
                <c:pt idx="6">
                  <c:v>106.62</c:v>
                </c:pt>
                <c:pt idx="7">
                  <c:v>139.02000000000001</c:v>
                </c:pt>
                <c:pt idx="8">
                  <c:v>35.17</c:v>
                </c:pt>
                <c:pt idx="9">
                  <c:v>128.11000000000001</c:v>
                </c:pt>
                <c:pt idx="10">
                  <c:v>187.09000000000003</c:v>
                </c:pt>
                <c:pt idx="11">
                  <c:v>30.9</c:v>
                </c:pt>
                <c:pt idx="12">
                  <c:v>132.01</c:v>
                </c:pt>
                <c:pt idx="13">
                  <c:v>58.190000000000005</c:v>
                </c:pt>
                <c:pt idx="14">
                  <c:v>39.26</c:v>
                </c:pt>
                <c:pt idx="15">
                  <c:v>90.009999999999991</c:v>
                </c:pt>
                <c:pt idx="16">
                  <c:v>68.16</c:v>
                </c:pt>
                <c:pt idx="17">
                  <c:v>50.73</c:v>
                </c:pt>
                <c:pt idx="18">
                  <c:v>52.31</c:v>
                </c:pt>
                <c:pt idx="19">
                  <c:v>57.05</c:v>
                </c:pt>
                <c:pt idx="20">
                  <c:v>50.93</c:v>
                </c:pt>
                <c:pt idx="21">
                  <c:v>62.489999999999995</c:v>
                </c:pt>
                <c:pt idx="22">
                  <c:v>16.66</c:v>
                </c:pt>
                <c:pt idx="23">
                  <c:v>109.94</c:v>
                </c:pt>
                <c:pt idx="24">
                  <c:v>95.759999999999991</c:v>
                </c:pt>
                <c:pt idx="25">
                  <c:v>70.66</c:v>
                </c:pt>
                <c:pt idx="26">
                  <c:v>4.8600000000000003</c:v>
                </c:pt>
                <c:pt idx="27">
                  <c:v>130.92000000000002</c:v>
                </c:pt>
                <c:pt idx="28">
                  <c:v>9.42</c:v>
                </c:pt>
                <c:pt idx="29">
                  <c:v>26.84</c:v>
                </c:pt>
                <c:pt idx="30">
                  <c:v>5.71</c:v>
                </c:pt>
                <c:pt idx="31">
                  <c:v>15.89</c:v>
                </c:pt>
                <c:pt idx="32">
                  <c:v>58.38</c:v>
                </c:pt>
                <c:pt idx="33">
                  <c:v>72.06</c:v>
                </c:pt>
                <c:pt idx="34">
                  <c:v>40.36</c:v>
                </c:pt>
                <c:pt idx="35">
                  <c:v>44.35</c:v>
                </c:pt>
                <c:pt idx="36">
                  <c:v>167.44</c:v>
                </c:pt>
                <c:pt idx="37">
                  <c:v>101.46000000000001</c:v>
                </c:pt>
                <c:pt idx="38">
                  <c:v>63.980000000000004</c:v>
                </c:pt>
                <c:pt idx="39">
                  <c:v>106.78</c:v>
                </c:pt>
                <c:pt idx="40">
                  <c:v>12.17</c:v>
                </c:pt>
                <c:pt idx="41">
                  <c:v>10.379999999999999</c:v>
                </c:pt>
                <c:pt idx="42">
                  <c:v>23.240000000000002</c:v>
                </c:pt>
                <c:pt idx="43">
                  <c:v>65.58</c:v>
                </c:pt>
                <c:pt idx="44">
                  <c:v>90.01</c:v>
                </c:pt>
                <c:pt idx="45">
                  <c:v>32.14</c:v>
                </c:pt>
                <c:pt idx="46">
                  <c:v>32.49</c:v>
                </c:pt>
                <c:pt idx="47">
                  <c:v>86.679999999999993</c:v>
                </c:pt>
                <c:pt idx="48">
                  <c:v>52.57</c:v>
                </c:pt>
                <c:pt idx="49">
                  <c:v>13.86</c:v>
                </c:pt>
                <c:pt idx="50">
                  <c:v>14.21</c:v>
                </c:pt>
                <c:pt idx="51">
                  <c:v>81.3</c:v>
                </c:pt>
                <c:pt idx="52">
                  <c:v>10.48</c:v>
                </c:pt>
                <c:pt idx="53">
                  <c:v>24.63</c:v>
                </c:pt>
                <c:pt idx="54">
                  <c:v>83.66</c:v>
                </c:pt>
                <c:pt idx="55">
                  <c:v>99.24</c:v>
                </c:pt>
                <c:pt idx="56">
                  <c:v>88.919999999999987</c:v>
                </c:pt>
                <c:pt idx="57">
                  <c:v>46.61</c:v>
                </c:pt>
                <c:pt idx="58">
                  <c:v>51.039999999999992</c:v>
                </c:pt>
                <c:pt idx="59">
                  <c:v>96.279999999999987</c:v>
                </c:pt>
                <c:pt idx="60">
                  <c:v>49.8</c:v>
                </c:pt>
                <c:pt idx="61">
                  <c:v>23.78</c:v>
                </c:pt>
                <c:pt idx="62">
                  <c:v>56.19</c:v>
                </c:pt>
                <c:pt idx="63">
                  <c:v>50.21</c:v>
                </c:pt>
                <c:pt idx="64">
                  <c:v>40.29</c:v>
                </c:pt>
                <c:pt idx="65">
                  <c:v>56.240000000000009</c:v>
                </c:pt>
                <c:pt idx="66">
                  <c:v>13.79</c:v>
                </c:pt>
                <c:pt idx="67">
                  <c:v>41.33</c:v>
                </c:pt>
                <c:pt idx="68">
                  <c:v>142.38</c:v>
                </c:pt>
                <c:pt idx="69">
                  <c:v>20.810000000000002</c:v>
                </c:pt>
                <c:pt idx="70">
                  <c:v>60.87</c:v>
                </c:pt>
                <c:pt idx="71">
                  <c:v>75.69</c:v>
                </c:pt>
                <c:pt idx="72">
                  <c:v>91.19</c:v>
                </c:pt>
                <c:pt idx="73">
                  <c:v>70.13</c:v>
                </c:pt>
                <c:pt idx="74">
                  <c:v>38.49</c:v>
                </c:pt>
                <c:pt idx="75">
                  <c:v>80.930000000000007</c:v>
                </c:pt>
                <c:pt idx="76">
                  <c:v>52.34</c:v>
                </c:pt>
                <c:pt idx="77">
                  <c:v>88.89</c:v>
                </c:pt>
                <c:pt idx="78">
                  <c:v>123.51</c:v>
                </c:pt>
                <c:pt idx="79">
                  <c:v>41.95</c:v>
                </c:pt>
                <c:pt idx="80">
                  <c:v>30.27</c:v>
                </c:pt>
                <c:pt idx="81">
                  <c:v>57.61</c:v>
                </c:pt>
                <c:pt idx="82">
                  <c:v>21.91</c:v>
                </c:pt>
                <c:pt idx="83">
                  <c:v>60.04</c:v>
                </c:pt>
                <c:pt idx="84">
                  <c:v>49.970000000000006</c:v>
                </c:pt>
                <c:pt idx="85">
                  <c:v>113.27000000000001</c:v>
                </c:pt>
                <c:pt idx="86">
                  <c:v>64.37</c:v>
                </c:pt>
                <c:pt idx="87">
                  <c:v>11.82</c:v>
                </c:pt>
                <c:pt idx="88">
                  <c:v>31.41</c:v>
                </c:pt>
                <c:pt idx="89">
                  <c:v>95.009999999999991</c:v>
                </c:pt>
                <c:pt idx="90">
                  <c:v>32.729999999999997</c:v>
                </c:pt>
                <c:pt idx="91">
                  <c:v>122.55000000000001</c:v>
                </c:pt>
                <c:pt idx="92">
                  <c:v>58.25</c:v>
                </c:pt>
                <c:pt idx="93">
                  <c:v>18.39</c:v>
                </c:pt>
                <c:pt idx="94">
                  <c:v>70.75</c:v>
                </c:pt>
                <c:pt idx="95">
                  <c:v>108.92</c:v>
                </c:pt>
                <c:pt idx="96">
                  <c:v>22.2</c:v>
                </c:pt>
                <c:pt idx="97">
                  <c:v>164.74</c:v>
                </c:pt>
                <c:pt idx="98">
                  <c:v>19.489999999999998</c:v>
                </c:pt>
                <c:pt idx="99">
                  <c:v>91.44</c:v>
                </c:pt>
                <c:pt idx="100">
                  <c:v>29.130000000000003</c:v>
                </c:pt>
                <c:pt idx="101">
                  <c:v>72.05</c:v>
                </c:pt>
                <c:pt idx="102">
                  <c:v>8.01</c:v>
                </c:pt>
                <c:pt idx="103">
                  <c:v>52.1</c:v>
                </c:pt>
                <c:pt idx="104">
                  <c:v>108.17999999999999</c:v>
                </c:pt>
                <c:pt idx="105">
                  <c:v>11.81</c:v>
                </c:pt>
                <c:pt idx="106">
                  <c:v>36.65</c:v>
                </c:pt>
                <c:pt idx="107">
                  <c:v>57.95</c:v>
                </c:pt>
                <c:pt idx="108">
                  <c:v>52.660000000000004</c:v>
                </c:pt>
                <c:pt idx="109">
                  <c:v>4.38</c:v>
                </c:pt>
                <c:pt idx="110">
                  <c:v>150.87</c:v>
                </c:pt>
                <c:pt idx="111">
                  <c:v>46.040000000000006</c:v>
                </c:pt>
                <c:pt idx="112">
                  <c:v>106.08</c:v>
                </c:pt>
                <c:pt idx="113">
                  <c:v>88.56</c:v>
                </c:pt>
                <c:pt idx="114">
                  <c:v>44.730000000000004</c:v>
                </c:pt>
                <c:pt idx="115">
                  <c:v>45.870000000000005</c:v>
                </c:pt>
                <c:pt idx="116">
                  <c:v>59.820000000000007</c:v>
                </c:pt>
                <c:pt idx="117">
                  <c:v>27.5</c:v>
                </c:pt>
                <c:pt idx="118">
                  <c:v>41.379999999999995</c:v>
                </c:pt>
                <c:pt idx="119">
                  <c:v>20.420000000000002</c:v>
                </c:pt>
                <c:pt idx="120">
                  <c:v>23.58</c:v>
                </c:pt>
                <c:pt idx="121">
                  <c:v>53.66</c:v>
                </c:pt>
                <c:pt idx="122">
                  <c:v>46.099999999999994</c:v>
                </c:pt>
                <c:pt idx="123">
                  <c:v>70.78</c:v>
                </c:pt>
                <c:pt idx="124">
                  <c:v>131.69</c:v>
                </c:pt>
                <c:pt idx="125">
                  <c:v>65.009999999999991</c:v>
                </c:pt>
                <c:pt idx="126">
                  <c:v>57.97</c:v>
                </c:pt>
                <c:pt idx="127">
                  <c:v>53.77</c:v>
                </c:pt>
                <c:pt idx="128">
                  <c:v>52.02</c:v>
                </c:pt>
                <c:pt idx="129">
                  <c:v>34.400000000000006</c:v>
                </c:pt>
                <c:pt idx="130">
                  <c:v>15.44</c:v>
                </c:pt>
                <c:pt idx="131">
                  <c:v>27.37</c:v>
                </c:pt>
                <c:pt idx="132">
                  <c:v>35.08</c:v>
                </c:pt>
                <c:pt idx="133">
                  <c:v>40.78</c:v>
                </c:pt>
                <c:pt idx="134">
                  <c:v>170.41</c:v>
                </c:pt>
                <c:pt idx="135">
                  <c:v>16.04</c:v>
                </c:pt>
                <c:pt idx="136">
                  <c:v>85.98</c:v>
                </c:pt>
                <c:pt idx="137">
                  <c:v>64.989999999999995</c:v>
                </c:pt>
                <c:pt idx="138">
                  <c:v>98.47999999999999</c:v>
                </c:pt>
                <c:pt idx="139">
                  <c:v>90.62</c:v>
                </c:pt>
                <c:pt idx="140">
                  <c:v>61.65</c:v>
                </c:pt>
                <c:pt idx="141">
                  <c:v>90.490000000000009</c:v>
                </c:pt>
                <c:pt idx="142">
                  <c:v>21.74</c:v>
                </c:pt>
                <c:pt idx="143">
                  <c:v>92.440000000000012</c:v>
                </c:pt>
                <c:pt idx="144">
                  <c:v>92.68</c:v>
                </c:pt>
                <c:pt idx="145">
                  <c:v>88.160000000000011</c:v>
                </c:pt>
                <c:pt idx="146">
                  <c:v>33.090000000000003</c:v>
                </c:pt>
                <c:pt idx="147">
                  <c:v>72.319999999999993</c:v>
                </c:pt>
                <c:pt idx="148">
                  <c:v>132.82999999999998</c:v>
                </c:pt>
                <c:pt idx="149">
                  <c:v>77.510000000000005</c:v>
                </c:pt>
                <c:pt idx="150">
                  <c:v>85.34</c:v>
                </c:pt>
                <c:pt idx="151">
                  <c:v>59.02</c:v>
                </c:pt>
                <c:pt idx="152">
                  <c:v>103.61000000000001</c:v>
                </c:pt>
                <c:pt idx="153">
                  <c:v>14.67</c:v>
                </c:pt>
                <c:pt idx="154">
                  <c:v>29.840000000000003</c:v>
                </c:pt>
                <c:pt idx="155">
                  <c:v>52.29</c:v>
                </c:pt>
                <c:pt idx="156">
                  <c:v>85.34</c:v>
                </c:pt>
                <c:pt idx="157">
                  <c:v>137.26</c:v>
                </c:pt>
                <c:pt idx="158">
                  <c:v>10.17</c:v>
                </c:pt>
                <c:pt idx="159">
                  <c:v>58.050000000000004</c:v>
                </c:pt>
                <c:pt idx="160">
                  <c:v>53.61</c:v>
                </c:pt>
                <c:pt idx="161">
                  <c:v>62.59</c:v>
                </c:pt>
                <c:pt idx="162">
                  <c:v>37.590000000000003</c:v>
                </c:pt>
                <c:pt idx="163">
                  <c:v>61.62</c:v>
                </c:pt>
                <c:pt idx="164">
                  <c:v>52.510000000000005</c:v>
                </c:pt>
                <c:pt idx="165">
                  <c:v>55.1</c:v>
                </c:pt>
                <c:pt idx="166">
                  <c:v>86.22</c:v>
                </c:pt>
                <c:pt idx="167">
                  <c:v>107.85</c:v>
                </c:pt>
                <c:pt idx="168">
                  <c:v>122.91</c:v>
                </c:pt>
                <c:pt idx="169">
                  <c:v>114.12</c:v>
                </c:pt>
                <c:pt idx="170">
                  <c:v>55.540000000000006</c:v>
                </c:pt>
                <c:pt idx="171">
                  <c:v>12.12</c:v>
                </c:pt>
                <c:pt idx="172">
                  <c:v>34.24</c:v>
                </c:pt>
                <c:pt idx="173">
                  <c:v>33.46</c:v>
                </c:pt>
                <c:pt idx="174">
                  <c:v>76.81</c:v>
                </c:pt>
                <c:pt idx="175">
                  <c:v>9.69</c:v>
                </c:pt>
                <c:pt idx="176">
                  <c:v>32.299999999999997</c:v>
                </c:pt>
                <c:pt idx="177">
                  <c:v>17.36</c:v>
                </c:pt>
                <c:pt idx="178">
                  <c:v>33.97</c:v>
                </c:pt>
                <c:pt idx="179">
                  <c:v>60.47</c:v>
                </c:pt>
                <c:pt idx="180">
                  <c:v>17.079999999999998</c:v>
                </c:pt>
                <c:pt idx="181">
                  <c:v>33.44</c:v>
                </c:pt>
                <c:pt idx="182">
                  <c:v>16.14</c:v>
                </c:pt>
                <c:pt idx="183">
                  <c:v>33.65</c:v>
                </c:pt>
                <c:pt idx="184">
                  <c:v>58.100000000000009</c:v>
                </c:pt>
                <c:pt idx="185">
                  <c:v>19.810000000000002</c:v>
                </c:pt>
                <c:pt idx="186">
                  <c:v>52.35</c:v>
                </c:pt>
                <c:pt idx="187">
                  <c:v>23.36</c:v>
                </c:pt>
                <c:pt idx="188">
                  <c:v>4.26</c:v>
                </c:pt>
                <c:pt idx="189">
                  <c:v>61.879999999999995</c:v>
                </c:pt>
                <c:pt idx="190">
                  <c:v>41.640000000000008</c:v>
                </c:pt>
                <c:pt idx="191">
                  <c:v>45.68</c:v>
                </c:pt>
                <c:pt idx="192">
                  <c:v>26.67</c:v>
                </c:pt>
                <c:pt idx="193">
                  <c:v>85.24</c:v>
                </c:pt>
                <c:pt idx="194">
                  <c:v>8.8000000000000007</c:v>
                </c:pt>
                <c:pt idx="195">
                  <c:v>20.82</c:v>
                </c:pt>
                <c:pt idx="196">
                  <c:v>5.19</c:v>
                </c:pt>
                <c:pt idx="197">
                  <c:v>63.080000000000005</c:v>
                </c:pt>
                <c:pt idx="198">
                  <c:v>22.57</c:v>
                </c:pt>
                <c:pt idx="199">
                  <c:v>61.43</c:v>
                </c:pt>
                <c:pt idx="200">
                  <c:v>41</c:v>
                </c:pt>
                <c:pt idx="201">
                  <c:v>47.959999999999994</c:v>
                </c:pt>
                <c:pt idx="202">
                  <c:v>21.21</c:v>
                </c:pt>
                <c:pt idx="203">
                  <c:v>40.739999999999995</c:v>
                </c:pt>
                <c:pt idx="204">
                  <c:v>29.38</c:v>
                </c:pt>
                <c:pt idx="205">
                  <c:v>123.08</c:v>
                </c:pt>
                <c:pt idx="206">
                  <c:v>158.79999999999998</c:v>
                </c:pt>
                <c:pt idx="207">
                  <c:v>33.950000000000003</c:v>
                </c:pt>
                <c:pt idx="208">
                  <c:v>59.46</c:v>
                </c:pt>
                <c:pt idx="209">
                  <c:v>47.76</c:v>
                </c:pt>
                <c:pt idx="210">
                  <c:v>73.260000000000005</c:v>
                </c:pt>
                <c:pt idx="211">
                  <c:v>30.95</c:v>
                </c:pt>
                <c:pt idx="212">
                  <c:v>30.69</c:v>
                </c:pt>
                <c:pt idx="213">
                  <c:v>61.239999999999995</c:v>
                </c:pt>
                <c:pt idx="214">
                  <c:v>116.16</c:v>
                </c:pt>
                <c:pt idx="215">
                  <c:v>24.72</c:v>
                </c:pt>
                <c:pt idx="216">
                  <c:v>108.13000000000001</c:v>
                </c:pt>
                <c:pt idx="217">
                  <c:v>126.89</c:v>
                </c:pt>
                <c:pt idx="218">
                  <c:v>37.58</c:v>
                </c:pt>
                <c:pt idx="219">
                  <c:v>70.73</c:v>
                </c:pt>
                <c:pt idx="220">
                  <c:v>55.25</c:v>
                </c:pt>
                <c:pt idx="221">
                  <c:v>9.9400000000000013</c:v>
                </c:pt>
                <c:pt idx="222">
                  <c:v>61.039999999999992</c:v>
                </c:pt>
                <c:pt idx="223">
                  <c:v>22.16</c:v>
                </c:pt>
                <c:pt idx="224">
                  <c:v>54.569999999999993</c:v>
                </c:pt>
                <c:pt idx="225">
                  <c:v>70.13</c:v>
                </c:pt>
                <c:pt idx="226">
                  <c:v>92.73</c:v>
                </c:pt>
                <c:pt idx="227">
                  <c:v>34.880000000000003</c:v>
                </c:pt>
                <c:pt idx="228">
                  <c:v>85.9</c:v>
                </c:pt>
                <c:pt idx="229">
                  <c:v>12.43</c:v>
                </c:pt>
                <c:pt idx="230">
                  <c:v>51.7</c:v>
                </c:pt>
                <c:pt idx="231">
                  <c:v>97.14</c:v>
                </c:pt>
                <c:pt idx="232">
                  <c:v>101.22</c:v>
                </c:pt>
                <c:pt idx="233">
                  <c:v>33.430000000000007</c:v>
                </c:pt>
                <c:pt idx="234">
                  <c:v>70.489999999999995</c:v>
                </c:pt>
                <c:pt idx="235">
                  <c:v>37.870000000000005</c:v>
                </c:pt>
                <c:pt idx="236">
                  <c:v>11.96</c:v>
                </c:pt>
                <c:pt idx="237">
                  <c:v>49.29</c:v>
                </c:pt>
                <c:pt idx="238">
                  <c:v>47.45</c:v>
                </c:pt>
                <c:pt idx="239">
                  <c:v>123.67</c:v>
                </c:pt>
                <c:pt idx="240">
                  <c:v>21.060000000000002</c:v>
                </c:pt>
                <c:pt idx="241">
                  <c:v>11.89</c:v>
                </c:pt>
                <c:pt idx="242">
                  <c:v>4.12</c:v>
                </c:pt>
                <c:pt idx="243">
                  <c:v>84.58</c:v>
                </c:pt>
                <c:pt idx="244">
                  <c:v>12.22</c:v>
                </c:pt>
                <c:pt idx="245">
                  <c:v>59.36</c:v>
                </c:pt>
                <c:pt idx="246">
                  <c:v>33.6</c:v>
                </c:pt>
                <c:pt idx="247">
                  <c:v>60.890000000000008</c:v>
                </c:pt>
                <c:pt idx="248">
                  <c:v>121.51</c:v>
                </c:pt>
                <c:pt idx="249">
                  <c:v>57.67</c:v>
                </c:pt>
                <c:pt idx="250">
                  <c:v>126.84</c:v>
                </c:pt>
                <c:pt idx="251">
                  <c:v>50.75</c:v>
                </c:pt>
                <c:pt idx="252">
                  <c:v>37.729999999999997</c:v>
                </c:pt>
                <c:pt idx="253">
                  <c:v>140.88999999999999</c:v>
                </c:pt>
                <c:pt idx="254">
                  <c:v>80.47</c:v>
                </c:pt>
                <c:pt idx="255">
                  <c:v>70.960000000000008</c:v>
                </c:pt>
                <c:pt idx="256">
                  <c:v>83.37</c:v>
                </c:pt>
                <c:pt idx="257">
                  <c:v>117.98</c:v>
                </c:pt>
                <c:pt idx="258">
                  <c:v>4.37</c:v>
                </c:pt>
                <c:pt idx="259">
                  <c:v>55.449999999999996</c:v>
                </c:pt>
                <c:pt idx="260">
                  <c:v>71.960000000000008</c:v>
                </c:pt>
                <c:pt idx="261">
                  <c:v>27.740000000000002</c:v>
                </c:pt>
                <c:pt idx="262">
                  <c:v>48.74</c:v>
                </c:pt>
                <c:pt idx="263">
                  <c:v>34.480000000000004</c:v>
                </c:pt>
                <c:pt idx="264">
                  <c:v>27.89</c:v>
                </c:pt>
                <c:pt idx="265">
                  <c:v>5.19</c:v>
                </c:pt>
                <c:pt idx="266">
                  <c:v>11.09</c:v>
                </c:pt>
                <c:pt idx="267">
                  <c:v>47.22</c:v>
                </c:pt>
                <c:pt idx="268">
                  <c:v>70.48</c:v>
                </c:pt>
                <c:pt idx="269">
                  <c:v>5.6</c:v>
                </c:pt>
                <c:pt idx="270">
                  <c:v>71.95</c:v>
                </c:pt>
                <c:pt idx="271">
                  <c:v>143.59</c:v>
                </c:pt>
                <c:pt idx="272">
                  <c:v>15.41</c:v>
                </c:pt>
                <c:pt idx="273">
                  <c:v>40.15</c:v>
                </c:pt>
                <c:pt idx="274">
                  <c:v>88.53</c:v>
                </c:pt>
                <c:pt idx="275">
                  <c:v>121.16999999999999</c:v>
                </c:pt>
                <c:pt idx="276">
                  <c:v>69.789999999999992</c:v>
                </c:pt>
                <c:pt idx="277">
                  <c:v>125.53</c:v>
                </c:pt>
                <c:pt idx="278">
                  <c:v>69.42</c:v>
                </c:pt>
                <c:pt idx="279">
                  <c:v>190.97</c:v>
                </c:pt>
                <c:pt idx="280">
                  <c:v>59.379999999999995</c:v>
                </c:pt>
                <c:pt idx="281">
                  <c:v>57.31</c:v>
                </c:pt>
                <c:pt idx="282">
                  <c:v>97.41</c:v>
                </c:pt>
                <c:pt idx="283">
                  <c:v>41.12</c:v>
                </c:pt>
                <c:pt idx="284">
                  <c:v>28.03</c:v>
                </c:pt>
                <c:pt idx="285">
                  <c:v>36.299999999999997</c:v>
                </c:pt>
                <c:pt idx="286">
                  <c:v>48.06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AA-4279-A3C2-29EDEF3FB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513488"/>
        <c:axId val="1212513968"/>
      </c:scatterChart>
      <c:valAx>
        <c:axId val="12125134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13968"/>
        <c:crosses val="autoZero"/>
        <c:crossBetween val="midCat"/>
      </c:valAx>
      <c:valAx>
        <c:axId val="1212513968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1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Vs. Monetary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'RFM Analysis Table'!$K$3:$K$289</c:f>
              <c:numCache>
                <c:formatCode>General</c:formatCode>
                <c:ptCount val="287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9</c:v>
                </c:pt>
                <c:pt idx="11">
                  <c:v>2</c:v>
                </c:pt>
                <c:pt idx="12">
                  <c:v>6</c:v>
                </c:pt>
                <c:pt idx="13">
                  <c:v>5</c:v>
                </c:pt>
                <c:pt idx="14">
                  <c:v>2</c:v>
                </c:pt>
                <c:pt idx="15">
                  <c:v>6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6</c:v>
                </c:pt>
                <c:pt idx="24">
                  <c:v>4</c:v>
                </c:pt>
                <c:pt idx="25">
                  <c:v>5</c:v>
                </c:pt>
                <c:pt idx="26">
                  <c:v>1</c:v>
                </c:pt>
                <c:pt idx="27">
                  <c:v>6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4</c:v>
                </c:pt>
                <c:pt idx="36">
                  <c:v>8</c:v>
                </c:pt>
                <c:pt idx="37">
                  <c:v>6</c:v>
                </c:pt>
                <c:pt idx="38">
                  <c:v>4</c:v>
                </c:pt>
                <c:pt idx="39">
                  <c:v>4</c:v>
                </c:pt>
                <c:pt idx="40">
                  <c:v>1</c:v>
                </c:pt>
                <c:pt idx="41">
                  <c:v>2</c:v>
                </c:pt>
                <c:pt idx="42">
                  <c:v>2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5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7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6</c:v>
                </c:pt>
                <c:pt idx="60">
                  <c:v>3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5</c:v>
                </c:pt>
                <c:pt idx="66">
                  <c:v>1</c:v>
                </c:pt>
                <c:pt idx="67">
                  <c:v>5</c:v>
                </c:pt>
                <c:pt idx="68">
                  <c:v>5</c:v>
                </c:pt>
                <c:pt idx="69">
                  <c:v>2</c:v>
                </c:pt>
                <c:pt idx="70">
                  <c:v>3</c:v>
                </c:pt>
                <c:pt idx="71">
                  <c:v>5</c:v>
                </c:pt>
                <c:pt idx="72">
                  <c:v>4</c:v>
                </c:pt>
                <c:pt idx="73">
                  <c:v>3</c:v>
                </c:pt>
                <c:pt idx="74">
                  <c:v>2</c:v>
                </c:pt>
                <c:pt idx="75">
                  <c:v>3</c:v>
                </c:pt>
                <c:pt idx="76">
                  <c:v>3</c:v>
                </c:pt>
                <c:pt idx="77">
                  <c:v>5</c:v>
                </c:pt>
                <c:pt idx="78">
                  <c:v>8</c:v>
                </c:pt>
                <c:pt idx="79">
                  <c:v>2</c:v>
                </c:pt>
                <c:pt idx="80">
                  <c:v>4</c:v>
                </c:pt>
                <c:pt idx="81">
                  <c:v>4</c:v>
                </c:pt>
                <c:pt idx="82">
                  <c:v>2</c:v>
                </c:pt>
                <c:pt idx="83">
                  <c:v>6</c:v>
                </c:pt>
                <c:pt idx="84">
                  <c:v>5</c:v>
                </c:pt>
                <c:pt idx="85">
                  <c:v>5</c:v>
                </c:pt>
                <c:pt idx="86">
                  <c:v>4</c:v>
                </c:pt>
                <c:pt idx="87">
                  <c:v>1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6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5</c:v>
                </c:pt>
                <c:pt idx="96">
                  <c:v>2</c:v>
                </c:pt>
                <c:pt idx="97">
                  <c:v>6</c:v>
                </c:pt>
                <c:pt idx="98">
                  <c:v>2</c:v>
                </c:pt>
                <c:pt idx="99">
                  <c:v>3</c:v>
                </c:pt>
                <c:pt idx="100">
                  <c:v>3</c:v>
                </c:pt>
                <c:pt idx="101">
                  <c:v>6</c:v>
                </c:pt>
                <c:pt idx="102">
                  <c:v>1</c:v>
                </c:pt>
                <c:pt idx="103">
                  <c:v>2</c:v>
                </c:pt>
                <c:pt idx="104">
                  <c:v>5</c:v>
                </c:pt>
                <c:pt idx="105">
                  <c:v>1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1</c:v>
                </c:pt>
                <c:pt idx="110">
                  <c:v>7</c:v>
                </c:pt>
                <c:pt idx="111">
                  <c:v>4</c:v>
                </c:pt>
                <c:pt idx="112">
                  <c:v>5</c:v>
                </c:pt>
                <c:pt idx="113">
                  <c:v>5</c:v>
                </c:pt>
                <c:pt idx="114">
                  <c:v>2</c:v>
                </c:pt>
                <c:pt idx="115">
                  <c:v>3</c:v>
                </c:pt>
                <c:pt idx="116">
                  <c:v>3</c:v>
                </c:pt>
                <c:pt idx="117">
                  <c:v>2</c:v>
                </c:pt>
                <c:pt idx="118">
                  <c:v>3</c:v>
                </c:pt>
                <c:pt idx="119">
                  <c:v>2</c:v>
                </c:pt>
                <c:pt idx="120">
                  <c:v>2</c:v>
                </c:pt>
                <c:pt idx="121">
                  <c:v>3</c:v>
                </c:pt>
                <c:pt idx="122">
                  <c:v>3</c:v>
                </c:pt>
                <c:pt idx="123">
                  <c:v>6</c:v>
                </c:pt>
                <c:pt idx="124">
                  <c:v>5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3</c:v>
                </c:pt>
                <c:pt idx="129">
                  <c:v>4</c:v>
                </c:pt>
                <c:pt idx="130">
                  <c:v>1</c:v>
                </c:pt>
                <c:pt idx="131">
                  <c:v>1</c:v>
                </c:pt>
                <c:pt idx="132">
                  <c:v>5</c:v>
                </c:pt>
                <c:pt idx="133">
                  <c:v>2</c:v>
                </c:pt>
                <c:pt idx="134">
                  <c:v>6</c:v>
                </c:pt>
                <c:pt idx="135">
                  <c:v>2</c:v>
                </c:pt>
                <c:pt idx="136">
                  <c:v>5</c:v>
                </c:pt>
                <c:pt idx="137">
                  <c:v>4</c:v>
                </c:pt>
                <c:pt idx="138">
                  <c:v>5</c:v>
                </c:pt>
                <c:pt idx="139">
                  <c:v>5</c:v>
                </c:pt>
                <c:pt idx="140">
                  <c:v>4</c:v>
                </c:pt>
                <c:pt idx="141">
                  <c:v>3</c:v>
                </c:pt>
                <c:pt idx="142">
                  <c:v>2</c:v>
                </c:pt>
                <c:pt idx="143">
                  <c:v>6</c:v>
                </c:pt>
                <c:pt idx="144">
                  <c:v>6</c:v>
                </c:pt>
                <c:pt idx="145">
                  <c:v>7</c:v>
                </c:pt>
                <c:pt idx="146">
                  <c:v>2</c:v>
                </c:pt>
                <c:pt idx="147">
                  <c:v>3</c:v>
                </c:pt>
                <c:pt idx="148">
                  <c:v>7</c:v>
                </c:pt>
                <c:pt idx="149">
                  <c:v>5</c:v>
                </c:pt>
                <c:pt idx="150">
                  <c:v>5</c:v>
                </c:pt>
                <c:pt idx="151">
                  <c:v>4</c:v>
                </c:pt>
                <c:pt idx="152">
                  <c:v>8</c:v>
                </c:pt>
                <c:pt idx="153">
                  <c:v>2</c:v>
                </c:pt>
                <c:pt idx="154">
                  <c:v>3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1</c:v>
                </c:pt>
                <c:pt idx="159">
                  <c:v>3</c:v>
                </c:pt>
                <c:pt idx="160">
                  <c:v>2</c:v>
                </c:pt>
                <c:pt idx="161">
                  <c:v>4</c:v>
                </c:pt>
                <c:pt idx="162">
                  <c:v>3</c:v>
                </c:pt>
                <c:pt idx="163">
                  <c:v>3</c:v>
                </c:pt>
                <c:pt idx="164">
                  <c:v>4</c:v>
                </c:pt>
                <c:pt idx="165">
                  <c:v>2</c:v>
                </c:pt>
                <c:pt idx="166">
                  <c:v>6</c:v>
                </c:pt>
                <c:pt idx="167">
                  <c:v>4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1</c:v>
                </c:pt>
                <c:pt idx="172">
                  <c:v>4</c:v>
                </c:pt>
                <c:pt idx="173">
                  <c:v>3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5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3</c:v>
                </c:pt>
                <c:pt idx="184">
                  <c:v>4</c:v>
                </c:pt>
                <c:pt idx="185">
                  <c:v>2</c:v>
                </c:pt>
                <c:pt idx="186">
                  <c:v>4</c:v>
                </c:pt>
                <c:pt idx="187">
                  <c:v>2</c:v>
                </c:pt>
                <c:pt idx="188">
                  <c:v>1</c:v>
                </c:pt>
                <c:pt idx="189">
                  <c:v>5</c:v>
                </c:pt>
                <c:pt idx="190">
                  <c:v>4</c:v>
                </c:pt>
                <c:pt idx="191">
                  <c:v>2</c:v>
                </c:pt>
                <c:pt idx="192">
                  <c:v>3</c:v>
                </c:pt>
                <c:pt idx="193">
                  <c:v>5</c:v>
                </c:pt>
                <c:pt idx="194">
                  <c:v>1</c:v>
                </c:pt>
                <c:pt idx="195">
                  <c:v>3</c:v>
                </c:pt>
                <c:pt idx="196">
                  <c:v>1</c:v>
                </c:pt>
                <c:pt idx="197">
                  <c:v>3</c:v>
                </c:pt>
                <c:pt idx="198">
                  <c:v>2</c:v>
                </c:pt>
                <c:pt idx="199">
                  <c:v>3</c:v>
                </c:pt>
                <c:pt idx="200">
                  <c:v>3</c:v>
                </c:pt>
                <c:pt idx="201">
                  <c:v>4</c:v>
                </c:pt>
                <c:pt idx="202">
                  <c:v>2</c:v>
                </c:pt>
                <c:pt idx="203">
                  <c:v>3</c:v>
                </c:pt>
                <c:pt idx="204">
                  <c:v>4</c:v>
                </c:pt>
                <c:pt idx="205">
                  <c:v>6</c:v>
                </c:pt>
                <c:pt idx="206">
                  <c:v>5</c:v>
                </c:pt>
                <c:pt idx="207">
                  <c:v>3</c:v>
                </c:pt>
                <c:pt idx="208">
                  <c:v>3</c:v>
                </c:pt>
                <c:pt idx="209">
                  <c:v>2</c:v>
                </c:pt>
                <c:pt idx="210">
                  <c:v>3</c:v>
                </c:pt>
                <c:pt idx="211">
                  <c:v>2</c:v>
                </c:pt>
                <c:pt idx="212">
                  <c:v>4</c:v>
                </c:pt>
                <c:pt idx="213">
                  <c:v>5</c:v>
                </c:pt>
                <c:pt idx="214">
                  <c:v>6</c:v>
                </c:pt>
                <c:pt idx="215">
                  <c:v>3</c:v>
                </c:pt>
                <c:pt idx="216">
                  <c:v>7</c:v>
                </c:pt>
                <c:pt idx="217">
                  <c:v>6</c:v>
                </c:pt>
                <c:pt idx="218">
                  <c:v>4</c:v>
                </c:pt>
                <c:pt idx="219">
                  <c:v>4</c:v>
                </c:pt>
                <c:pt idx="220">
                  <c:v>3</c:v>
                </c:pt>
                <c:pt idx="221">
                  <c:v>2</c:v>
                </c:pt>
                <c:pt idx="222">
                  <c:v>3</c:v>
                </c:pt>
                <c:pt idx="223">
                  <c:v>2</c:v>
                </c:pt>
                <c:pt idx="224">
                  <c:v>2</c:v>
                </c:pt>
                <c:pt idx="225">
                  <c:v>5</c:v>
                </c:pt>
                <c:pt idx="226">
                  <c:v>5</c:v>
                </c:pt>
                <c:pt idx="227">
                  <c:v>1</c:v>
                </c:pt>
                <c:pt idx="228">
                  <c:v>4</c:v>
                </c:pt>
                <c:pt idx="229">
                  <c:v>1</c:v>
                </c:pt>
                <c:pt idx="230">
                  <c:v>3</c:v>
                </c:pt>
                <c:pt idx="231">
                  <c:v>4</c:v>
                </c:pt>
                <c:pt idx="232">
                  <c:v>5</c:v>
                </c:pt>
                <c:pt idx="233">
                  <c:v>2</c:v>
                </c:pt>
                <c:pt idx="234">
                  <c:v>3</c:v>
                </c:pt>
                <c:pt idx="235">
                  <c:v>3</c:v>
                </c:pt>
                <c:pt idx="236">
                  <c:v>2</c:v>
                </c:pt>
                <c:pt idx="237">
                  <c:v>2</c:v>
                </c:pt>
                <c:pt idx="238">
                  <c:v>3</c:v>
                </c:pt>
                <c:pt idx="239">
                  <c:v>7</c:v>
                </c:pt>
                <c:pt idx="240">
                  <c:v>2</c:v>
                </c:pt>
                <c:pt idx="241">
                  <c:v>1</c:v>
                </c:pt>
                <c:pt idx="242">
                  <c:v>1</c:v>
                </c:pt>
                <c:pt idx="243">
                  <c:v>5</c:v>
                </c:pt>
                <c:pt idx="244">
                  <c:v>1</c:v>
                </c:pt>
                <c:pt idx="245">
                  <c:v>2</c:v>
                </c:pt>
                <c:pt idx="246">
                  <c:v>1</c:v>
                </c:pt>
                <c:pt idx="247">
                  <c:v>6</c:v>
                </c:pt>
                <c:pt idx="248">
                  <c:v>5</c:v>
                </c:pt>
                <c:pt idx="249">
                  <c:v>3</c:v>
                </c:pt>
                <c:pt idx="250">
                  <c:v>6</c:v>
                </c:pt>
                <c:pt idx="251">
                  <c:v>2</c:v>
                </c:pt>
                <c:pt idx="252">
                  <c:v>4</c:v>
                </c:pt>
                <c:pt idx="253">
                  <c:v>6</c:v>
                </c:pt>
                <c:pt idx="254">
                  <c:v>3</c:v>
                </c:pt>
                <c:pt idx="255">
                  <c:v>4</c:v>
                </c:pt>
                <c:pt idx="256">
                  <c:v>4</c:v>
                </c:pt>
                <c:pt idx="257">
                  <c:v>5</c:v>
                </c:pt>
                <c:pt idx="258">
                  <c:v>1</c:v>
                </c:pt>
                <c:pt idx="259">
                  <c:v>3</c:v>
                </c:pt>
                <c:pt idx="260">
                  <c:v>3</c:v>
                </c:pt>
                <c:pt idx="261">
                  <c:v>2</c:v>
                </c:pt>
                <c:pt idx="262">
                  <c:v>2</c:v>
                </c:pt>
                <c:pt idx="263">
                  <c:v>3</c:v>
                </c:pt>
                <c:pt idx="264">
                  <c:v>2</c:v>
                </c:pt>
                <c:pt idx="265">
                  <c:v>1</c:v>
                </c:pt>
                <c:pt idx="266">
                  <c:v>2</c:v>
                </c:pt>
                <c:pt idx="267">
                  <c:v>3</c:v>
                </c:pt>
                <c:pt idx="268">
                  <c:v>6</c:v>
                </c:pt>
                <c:pt idx="269">
                  <c:v>1</c:v>
                </c:pt>
                <c:pt idx="270">
                  <c:v>2</c:v>
                </c:pt>
                <c:pt idx="271">
                  <c:v>8</c:v>
                </c:pt>
                <c:pt idx="272">
                  <c:v>2</c:v>
                </c:pt>
                <c:pt idx="273">
                  <c:v>4</c:v>
                </c:pt>
                <c:pt idx="274">
                  <c:v>7</c:v>
                </c:pt>
                <c:pt idx="275">
                  <c:v>7</c:v>
                </c:pt>
                <c:pt idx="276">
                  <c:v>2</c:v>
                </c:pt>
                <c:pt idx="277">
                  <c:v>6</c:v>
                </c:pt>
                <c:pt idx="278">
                  <c:v>3</c:v>
                </c:pt>
                <c:pt idx="279">
                  <c:v>12</c:v>
                </c:pt>
                <c:pt idx="280">
                  <c:v>3</c:v>
                </c:pt>
                <c:pt idx="281">
                  <c:v>5</c:v>
                </c:pt>
                <c:pt idx="282">
                  <c:v>5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</c:numCache>
            </c:numRef>
          </c:xVal>
          <c:yVal>
            <c:numRef>
              <c:f>'RFM Analysis Table'!$L$3:$L$289</c:f>
              <c:numCache>
                <c:formatCode>General</c:formatCode>
                <c:ptCount val="287"/>
                <c:pt idx="0">
                  <c:v>64.5</c:v>
                </c:pt>
                <c:pt idx="1">
                  <c:v>53.9</c:v>
                </c:pt>
                <c:pt idx="2">
                  <c:v>75.75</c:v>
                </c:pt>
                <c:pt idx="3">
                  <c:v>123.07</c:v>
                </c:pt>
                <c:pt idx="4">
                  <c:v>63.34</c:v>
                </c:pt>
                <c:pt idx="5">
                  <c:v>104.63000000000001</c:v>
                </c:pt>
                <c:pt idx="6">
                  <c:v>106.62</c:v>
                </c:pt>
                <c:pt idx="7">
                  <c:v>139.02000000000001</c:v>
                </c:pt>
                <c:pt idx="8">
                  <c:v>35.17</c:v>
                </c:pt>
                <c:pt idx="9">
                  <c:v>128.11000000000001</c:v>
                </c:pt>
                <c:pt idx="10">
                  <c:v>187.09000000000003</c:v>
                </c:pt>
                <c:pt idx="11">
                  <c:v>30.9</c:v>
                </c:pt>
                <c:pt idx="12">
                  <c:v>132.01</c:v>
                </c:pt>
                <c:pt idx="13">
                  <c:v>58.190000000000005</c:v>
                </c:pt>
                <c:pt idx="14">
                  <c:v>39.26</c:v>
                </c:pt>
                <c:pt idx="15">
                  <c:v>90.009999999999991</c:v>
                </c:pt>
                <c:pt idx="16">
                  <c:v>68.16</c:v>
                </c:pt>
                <c:pt idx="17">
                  <c:v>50.73</c:v>
                </c:pt>
                <c:pt idx="18">
                  <c:v>52.31</c:v>
                </c:pt>
                <c:pt idx="19">
                  <c:v>57.05</c:v>
                </c:pt>
                <c:pt idx="20">
                  <c:v>50.93</c:v>
                </c:pt>
                <c:pt idx="21">
                  <c:v>62.489999999999995</c:v>
                </c:pt>
                <c:pt idx="22">
                  <c:v>16.66</c:v>
                </c:pt>
                <c:pt idx="23">
                  <c:v>109.94</c:v>
                </c:pt>
                <c:pt idx="24">
                  <c:v>95.759999999999991</c:v>
                </c:pt>
                <c:pt idx="25">
                  <c:v>70.66</c:v>
                </c:pt>
                <c:pt idx="26">
                  <c:v>4.8600000000000003</c:v>
                </c:pt>
                <c:pt idx="27">
                  <c:v>130.92000000000002</c:v>
                </c:pt>
                <c:pt idx="28">
                  <c:v>9.42</c:v>
                </c:pt>
                <c:pt idx="29">
                  <c:v>26.84</c:v>
                </c:pt>
                <c:pt idx="30">
                  <c:v>5.71</c:v>
                </c:pt>
                <c:pt idx="31">
                  <c:v>15.89</c:v>
                </c:pt>
                <c:pt idx="32">
                  <c:v>58.38</c:v>
                </c:pt>
                <c:pt idx="33">
                  <c:v>72.06</c:v>
                </c:pt>
                <c:pt idx="34">
                  <c:v>40.36</c:v>
                </c:pt>
                <c:pt idx="35">
                  <c:v>44.35</c:v>
                </c:pt>
                <c:pt idx="36">
                  <c:v>167.44</c:v>
                </c:pt>
                <c:pt idx="37">
                  <c:v>101.46000000000001</c:v>
                </c:pt>
                <c:pt idx="38">
                  <c:v>63.980000000000004</c:v>
                </c:pt>
                <c:pt idx="39">
                  <c:v>106.78</c:v>
                </c:pt>
                <c:pt idx="40">
                  <c:v>12.17</c:v>
                </c:pt>
                <c:pt idx="41">
                  <c:v>10.379999999999999</c:v>
                </c:pt>
                <c:pt idx="42">
                  <c:v>23.240000000000002</c:v>
                </c:pt>
                <c:pt idx="43">
                  <c:v>65.58</c:v>
                </c:pt>
                <c:pt idx="44">
                  <c:v>90.01</c:v>
                </c:pt>
                <c:pt idx="45">
                  <c:v>32.14</c:v>
                </c:pt>
                <c:pt idx="46">
                  <c:v>32.49</c:v>
                </c:pt>
                <c:pt idx="47">
                  <c:v>86.679999999999993</c:v>
                </c:pt>
                <c:pt idx="48">
                  <c:v>52.57</c:v>
                </c:pt>
                <c:pt idx="49">
                  <c:v>13.86</c:v>
                </c:pt>
                <c:pt idx="50">
                  <c:v>14.21</c:v>
                </c:pt>
                <c:pt idx="51">
                  <c:v>81.3</c:v>
                </c:pt>
                <c:pt idx="52">
                  <c:v>10.48</c:v>
                </c:pt>
                <c:pt idx="53">
                  <c:v>24.63</c:v>
                </c:pt>
                <c:pt idx="54">
                  <c:v>83.66</c:v>
                </c:pt>
                <c:pt idx="55">
                  <c:v>99.24</c:v>
                </c:pt>
                <c:pt idx="56">
                  <c:v>88.919999999999987</c:v>
                </c:pt>
                <c:pt idx="57">
                  <c:v>46.61</c:v>
                </c:pt>
                <c:pt idx="58">
                  <c:v>51.039999999999992</c:v>
                </c:pt>
                <c:pt idx="59">
                  <c:v>96.279999999999987</c:v>
                </c:pt>
                <c:pt idx="60">
                  <c:v>49.8</c:v>
                </c:pt>
                <c:pt idx="61">
                  <c:v>23.78</c:v>
                </c:pt>
                <c:pt idx="62">
                  <c:v>56.19</c:v>
                </c:pt>
                <c:pt idx="63">
                  <c:v>50.21</c:v>
                </c:pt>
                <c:pt idx="64">
                  <c:v>40.29</c:v>
                </c:pt>
                <c:pt idx="65">
                  <c:v>56.240000000000009</c:v>
                </c:pt>
                <c:pt idx="66">
                  <c:v>13.79</c:v>
                </c:pt>
                <c:pt idx="67">
                  <c:v>41.33</c:v>
                </c:pt>
                <c:pt idx="68">
                  <c:v>142.38</c:v>
                </c:pt>
                <c:pt idx="69">
                  <c:v>20.810000000000002</c:v>
                </c:pt>
                <c:pt idx="70">
                  <c:v>60.87</c:v>
                </c:pt>
                <c:pt idx="71">
                  <c:v>75.69</c:v>
                </c:pt>
                <c:pt idx="72">
                  <c:v>91.19</c:v>
                </c:pt>
                <c:pt idx="73">
                  <c:v>70.13</c:v>
                </c:pt>
                <c:pt idx="74">
                  <c:v>38.49</c:v>
                </c:pt>
                <c:pt idx="75">
                  <c:v>80.930000000000007</c:v>
                </c:pt>
                <c:pt idx="76">
                  <c:v>52.34</c:v>
                </c:pt>
                <c:pt idx="77">
                  <c:v>88.89</c:v>
                </c:pt>
                <c:pt idx="78">
                  <c:v>123.51</c:v>
                </c:pt>
                <c:pt idx="79">
                  <c:v>41.95</c:v>
                </c:pt>
                <c:pt idx="80">
                  <c:v>30.27</c:v>
                </c:pt>
                <c:pt idx="81">
                  <c:v>57.61</c:v>
                </c:pt>
                <c:pt idx="82">
                  <c:v>21.91</c:v>
                </c:pt>
                <c:pt idx="83">
                  <c:v>60.04</c:v>
                </c:pt>
                <c:pt idx="84">
                  <c:v>49.970000000000006</c:v>
                </c:pt>
                <c:pt idx="85">
                  <c:v>113.27000000000001</c:v>
                </c:pt>
                <c:pt idx="86">
                  <c:v>64.37</c:v>
                </c:pt>
                <c:pt idx="87">
                  <c:v>11.82</c:v>
                </c:pt>
                <c:pt idx="88">
                  <c:v>31.41</c:v>
                </c:pt>
                <c:pt idx="89">
                  <c:v>95.009999999999991</c:v>
                </c:pt>
                <c:pt idx="90">
                  <c:v>32.729999999999997</c:v>
                </c:pt>
                <c:pt idx="91">
                  <c:v>122.55000000000001</c:v>
                </c:pt>
                <c:pt idx="92">
                  <c:v>58.25</c:v>
                </c:pt>
                <c:pt idx="93">
                  <c:v>18.39</c:v>
                </c:pt>
                <c:pt idx="94">
                  <c:v>70.75</c:v>
                </c:pt>
                <c:pt idx="95">
                  <c:v>108.92</c:v>
                </c:pt>
                <c:pt idx="96">
                  <c:v>22.2</c:v>
                </c:pt>
                <c:pt idx="97">
                  <c:v>164.74</c:v>
                </c:pt>
                <c:pt idx="98">
                  <c:v>19.489999999999998</c:v>
                </c:pt>
                <c:pt idx="99">
                  <c:v>91.44</c:v>
                </c:pt>
                <c:pt idx="100">
                  <c:v>29.130000000000003</c:v>
                </c:pt>
                <c:pt idx="101">
                  <c:v>72.05</c:v>
                </c:pt>
                <c:pt idx="102">
                  <c:v>8.01</c:v>
                </c:pt>
                <c:pt idx="103">
                  <c:v>52.1</c:v>
                </c:pt>
                <c:pt idx="104">
                  <c:v>108.17999999999999</c:v>
                </c:pt>
                <c:pt idx="105">
                  <c:v>11.81</c:v>
                </c:pt>
                <c:pt idx="106">
                  <c:v>36.65</c:v>
                </c:pt>
                <c:pt idx="107">
                  <c:v>57.95</c:v>
                </c:pt>
                <c:pt idx="108">
                  <c:v>52.660000000000004</c:v>
                </c:pt>
                <c:pt idx="109">
                  <c:v>4.38</c:v>
                </c:pt>
                <c:pt idx="110">
                  <c:v>150.87</c:v>
                </c:pt>
                <c:pt idx="111">
                  <c:v>46.040000000000006</c:v>
                </c:pt>
                <c:pt idx="112">
                  <c:v>106.08</c:v>
                </c:pt>
                <c:pt idx="113">
                  <c:v>88.56</c:v>
                </c:pt>
                <c:pt idx="114">
                  <c:v>44.730000000000004</c:v>
                </c:pt>
                <c:pt idx="115">
                  <c:v>45.870000000000005</c:v>
                </c:pt>
                <c:pt idx="116">
                  <c:v>59.820000000000007</c:v>
                </c:pt>
                <c:pt idx="117">
                  <c:v>27.5</c:v>
                </c:pt>
                <c:pt idx="118">
                  <c:v>41.379999999999995</c:v>
                </c:pt>
                <c:pt idx="119">
                  <c:v>20.420000000000002</c:v>
                </c:pt>
                <c:pt idx="120">
                  <c:v>23.58</c:v>
                </c:pt>
                <c:pt idx="121">
                  <c:v>53.66</c:v>
                </c:pt>
                <c:pt idx="122">
                  <c:v>46.099999999999994</c:v>
                </c:pt>
                <c:pt idx="123">
                  <c:v>70.78</c:v>
                </c:pt>
                <c:pt idx="124">
                  <c:v>131.69</c:v>
                </c:pt>
                <c:pt idx="125">
                  <c:v>65.009999999999991</c:v>
                </c:pt>
                <c:pt idx="126">
                  <c:v>57.97</c:v>
                </c:pt>
                <c:pt idx="127">
                  <c:v>53.77</c:v>
                </c:pt>
                <c:pt idx="128">
                  <c:v>52.02</c:v>
                </c:pt>
                <c:pt idx="129">
                  <c:v>34.400000000000006</c:v>
                </c:pt>
                <c:pt idx="130">
                  <c:v>15.44</c:v>
                </c:pt>
                <c:pt idx="131">
                  <c:v>27.37</c:v>
                </c:pt>
                <c:pt idx="132">
                  <c:v>35.08</c:v>
                </c:pt>
                <c:pt idx="133">
                  <c:v>40.78</c:v>
                </c:pt>
                <c:pt idx="134">
                  <c:v>170.41</c:v>
                </c:pt>
                <c:pt idx="135">
                  <c:v>16.04</c:v>
                </c:pt>
                <c:pt idx="136">
                  <c:v>85.98</c:v>
                </c:pt>
                <c:pt idx="137">
                  <c:v>64.989999999999995</c:v>
                </c:pt>
                <c:pt idx="138">
                  <c:v>98.47999999999999</c:v>
                </c:pt>
                <c:pt idx="139">
                  <c:v>90.62</c:v>
                </c:pt>
                <c:pt idx="140">
                  <c:v>61.65</c:v>
                </c:pt>
                <c:pt idx="141">
                  <c:v>90.490000000000009</c:v>
                </c:pt>
                <c:pt idx="142">
                  <c:v>21.74</c:v>
                </c:pt>
                <c:pt idx="143">
                  <c:v>92.440000000000012</c:v>
                </c:pt>
                <c:pt idx="144">
                  <c:v>92.68</c:v>
                </c:pt>
                <c:pt idx="145">
                  <c:v>88.160000000000011</c:v>
                </c:pt>
                <c:pt idx="146">
                  <c:v>33.090000000000003</c:v>
                </c:pt>
                <c:pt idx="147">
                  <c:v>72.319999999999993</c:v>
                </c:pt>
                <c:pt idx="148">
                  <c:v>132.82999999999998</c:v>
                </c:pt>
                <c:pt idx="149">
                  <c:v>77.510000000000005</c:v>
                </c:pt>
                <c:pt idx="150">
                  <c:v>85.34</c:v>
                </c:pt>
                <c:pt idx="151">
                  <c:v>59.02</c:v>
                </c:pt>
                <c:pt idx="152">
                  <c:v>103.61000000000001</c:v>
                </c:pt>
                <c:pt idx="153">
                  <c:v>14.67</c:v>
                </c:pt>
                <c:pt idx="154">
                  <c:v>29.840000000000003</c:v>
                </c:pt>
                <c:pt idx="155">
                  <c:v>52.29</c:v>
                </c:pt>
                <c:pt idx="156">
                  <c:v>85.34</c:v>
                </c:pt>
                <c:pt idx="157">
                  <c:v>137.26</c:v>
                </c:pt>
                <c:pt idx="158">
                  <c:v>10.17</c:v>
                </c:pt>
                <c:pt idx="159">
                  <c:v>58.050000000000004</c:v>
                </c:pt>
                <c:pt idx="160">
                  <c:v>53.61</c:v>
                </c:pt>
                <c:pt idx="161">
                  <c:v>62.59</c:v>
                </c:pt>
                <c:pt idx="162">
                  <c:v>37.590000000000003</c:v>
                </c:pt>
                <c:pt idx="163">
                  <c:v>61.62</c:v>
                </c:pt>
                <c:pt idx="164">
                  <c:v>52.510000000000005</c:v>
                </c:pt>
                <c:pt idx="165">
                  <c:v>55.1</c:v>
                </c:pt>
                <c:pt idx="166">
                  <c:v>86.22</c:v>
                </c:pt>
                <c:pt idx="167">
                  <c:v>107.85</c:v>
                </c:pt>
                <c:pt idx="168">
                  <c:v>122.91</c:v>
                </c:pt>
                <c:pt idx="169">
                  <c:v>114.12</c:v>
                </c:pt>
                <c:pt idx="170">
                  <c:v>55.540000000000006</c:v>
                </c:pt>
                <c:pt idx="171">
                  <c:v>12.12</c:v>
                </c:pt>
                <c:pt idx="172">
                  <c:v>34.24</c:v>
                </c:pt>
                <c:pt idx="173">
                  <c:v>33.46</c:v>
                </c:pt>
                <c:pt idx="174">
                  <c:v>76.81</c:v>
                </c:pt>
                <c:pt idx="175">
                  <c:v>9.69</c:v>
                </c:pt>
                <c:pt idx="176">
                  <c:v>32.299999999999997</c:v>
                </c:pt>
                <c:pt idx="177">
                  <c:v>17.36</c:v>
                </c:pt>
                <c:pt idx="178">
                  <c:v>33.97</c:v>
                </c:pt>
                <c:pt idx="179">
                  <c:v>60.47</c:v>
                </c:pt>
                <c:pt idx="180">
                  <c:v>17.079999999999998</c:v>
                </c:pt>
                <c:pt idx="181">
                  <c:v>33.44</c:v>
                </c:pt>
                <c:pt idx="182">
                  <c:v>16.14</c:v>
                </c:pt>
                <c:pt idx="183">
                  <c:v>33.65</c:v>
                </c:pt>
                <c:pt idx="184">
                  <c:v>58.100000000000009</c:v>
                </c:pt>
                <c:pt idx="185">
                  <c:v>19.810000000000002</c:v>
                </c:pt>
                <c:pt idx="186">
                  <c:v>52.35</c:v>
                </c:pt>
                <c:pt idx="187">
                  <c:v>23.36</c:v>
                </c:pt>
                <c:pt idx="188">
                  <c:v>4.26</c:v>
                </c:pt>
                <c:pt idx="189">
                  <c:v>61.879999999999995</c:v>
                </c:pt>
                <c:pt idx="190">
                  <c:v>41.640000000000008</c:v>
                </c:pt>
                <c:pt idx="191">
                  <c:v>45.68</c:v>
                </c:pt>
                <c:pt idx="192">
                  <c:v>26.67</c:v>
                </c:pt>
                <c:pt idx="193">
                  <c:v>85.24</c:v>
                </c:pt>
                <c:pt idx="194">
                  <c:v>8.8000000000000007</c:v>
                </c:pt>
                <c:pt idx="195">
                  <c:v>20.82</c:v>
                </c:pt>
                <c:pt idx="196">
                  <c:v>5.19</c:v>
                </c:pt>
                <c:pt idx="197">
                  <c:v>63.080000000000005</c:v>
                </c:pt>
                <c:pt idx="198">
                  <c:v>22.57</c:v>
                </c:pt>
                <c:pt idx="199">
                  <c:v>61.43</c:v>
                </c:pt>
                <c:pt idx="200">
                  <c:v>41</c:v>
                </c:pt>
                <c:pt idx="201">
                  <c:v>47.959999999999994</c:v>
                </c:pt>
                <c:pt idx="202">
                  <c:v>21.21</c:v>
                </c:pt>
                <c:pt idx="203">
                  <c:v>40.739999999999995</c:v>
                </c:pt>
                <c:pt idx="204">
                  <c:v>29.38</c:v>
                </c:pt>
                <c:pt idx="205">
                  <c:v>123.08</c:v>
                </c:pt>
                <c:pt idx="206">
                  <c:v>158.79999999999998</c:v>
                </c:pt>
                <c:pt idx="207">
                  <c:v>33.950000000000003</c:v>
                </c:pt>
                <c:pt idx="208">
                  <c:v>59.46</c:v>
                </c:pt>
                <c:pt idx="209">
                  <c:v>47.76</c:v>
                </c:pt>
                <c:pt idx="210">
                  <c:v>73.260000000000005</c:v>
                </c:pt>
                <c:pt idx="211">
                  <c:v>30.95</c:v>
                </c:pt>
                <c:pt idx="212">
                  <c:v>30.69</c:v>
                </c:pt>
                <c:pt idx="213">
                  <c:v>61.239999999999995</c:v>
                </c:pt>
                <c:pt idx="214">
                  <c:v>116.16</c:v>
                </c:pt>
                <c:pt idx="215">
                  <c:v>24.72</c:v>
                </c:pt>
                <c:pt idx="216">
                  <c:v>108.13000000000001</c:v>
                </c:pt>
                <c:pt idx="217">
                  <c:v>126.89</c:v>
                </c:pt>
                <c:pt idx="218">
                  <c:v>37.58</c:v>
                </c:pt>
                <c:pt idx="219">
                  <c:v>70.73</c:v>
                </c:pt>
                <c:pt idx="220">
                  <c:v>55.25</c:v>
                </c:pt>
                <c:pt idx="221">
                  <c:v>9.9400000000000013</c:v>
                </c:pt>
                <c:pt idx="222">
                  <c:v>61.039999999999992</c:v>
                </c:pt>
                <c:pt idx="223">
                  <c:v>22.16</c:v>
                </c:pt>
                <c:pt idx="224">
                  <c:v>54.569999999999993</c:v>
                </c:pt>
                <c:pt idx="225">
                  <c:v>70.13</c:v>
                </c:pt>
                <c:pt idx="226">
                  <c:v>92.73</c:v>
                </c:pt>
                <c:pt idx="227">
                  <c:v>34.880000000000003</c:v>
                </c:pt>
                <c:pt idx="228">
                  <c:v>85.9</c:v>
                </c:pt>
                <c:pt idx="229">
                  <c:v>12.43</c:v>
                </c:pt>
                <c:pt idx="230">
                  <c:v>51.7</c:v>
                </c:pt>
                <c:pt idx="231">
                  <c:v>97.14</c:v>
                </c:pt>
                <c:pt idx="232">
                  <c:v>101.22</c:v>
                </c:pt>
                <c:pt idx="233">
                  <c:v>33.430000000000007</c:v>
                </c:pt>
                <c:pt idx="234">
                  <c:v>70.489999999999995</c:v>
                </c:pt>
                <c:pt idx="235">
                  <c:v>37.870000000000005</c:v>
                </c:pt>
                <c:pt idx="236">
                  <c:v>11.96</c:v>
                </c:pt>
                <c:pt idx="237">
                  <c:v>49.29</c:v>
                </c:pt>
                <c:pt idx="238">
                  <c:v>47.45</c:v>
                </c:pt>
                <c:pt idx="239">
                  <c:v>123.67</c:v>
                </c:pt>
                <c:pt idx="240">
                  <c:v>21.060000000000002</c:v>
                </c:pt>
                <c:pt idx="241">
                  <c:v>11.89</c:v>
                </c:pt>
                <c:pt idx="242">
                  <c:v>4.12</c:v>
                </c:pt>
                <c:pt idx="243">
                  <c:v>84.58</c:v>
                </c:pt>
                <c:pt idx="244">
                  <c:v>12.22</c:v>
                </c:pt>
                <c:pt idx="245">
                  <c:v>59.36</c:v>
                </c:pt>
                <c:pt idx="246">
                  <c:v>33.6</c:v>
                </c:pt>
                <c:pt idx="247">
                  <c:v>60.890000000000008</c:v>
                </c:pt>
                <c:pt idx="248">
                  <c:v>121.51</c:v>
                </c:pt>
                <c:pt idx="249">
                  <c:v>57.67</c:v>
                </c:pt>
                <c:pt idx="250">
                  <c:v>126.84</c:v>
                </c:pt>
                <c:pt idx="251">
                  <c:v>50.75</c:v>
                </c:pt>
                <c:pt idx="252">
                  <c:v>37.729999999999997</c:v>
                </c:pt>
                <c:pt idx="253">
                  <c:v>140.88999999999999</c:v>
                </c:pt>
                <c:pt idx="254">
                  <c:v>80.47</c:v>
                </c:pt>
                <c:pt idx="255">
                  <c:v>70.960000000000008</c:v>
                </c:pt>
                <c:pt idx="256">
                  <c:v>83.37</c:v>
                </c:pt>
                <c:pt idx="257">
                  <c:v>117.98</c:v>
                </c:pt>
                <c:pt idx="258">
                  <c:v>4.37</c:v>
                </c:pt>
                <c:pt idx="259">
                  <c:v>55.449999999999996</c:v>
                </c:pt>
                <c:pt idx="260">
                  <c:v>71.960000000000008</c:v>
                </c:pt>
                <c:pt idx="261">
                  <c:v>27.740000000000002</c:v>
                </c:pt>
                <c:pt idx="262">
                  <c:v>48.74</c:v>
                </c:pt>
                <c:pt idx="263">
                  <c:v>34.480000000000004</c:v>
                </c:pt>
                <c:pt idx="264">
                  <c:v>27.89</c:v>
                </c:pt>
                <c:pt idx="265">
                  <c:v>5.19</c:v>
                </c:pt>
                <c:pt idx="266">
                  <c:v>11.09</c:v>
                </c:pt>
                <c:pt idx="267">
                  <c:v>47.22</c:v>
                </c:pt>
                <c:pt idx="268">
                  <c:v>70.48</c:v>
                </c:pt>
                <c:pt idx="269">
                  <c:v>5.6</c:v>
                </c:pt>
                <c:pt idx="270">
                  <c:v>71.95</c:v>
                </c:pt>
                <c:pt idx="271">
                  <c:v>143.59</c:v>
                </c:pt>
                <c:pt idx="272">
                  <c:v>15.41</c:v>
                </c:pt>
                <c:pt idx="273">
                  <c:v>40.15</c:v>
                </c:pt>
                <c:pt idx="274">
                  <c:v>88.53</c:v>
                </c:pt>
                <c:pt idx="275">
                  <c:v>121.16999999999999</c:v>
                </c:pt>
                <c:pt idx="276">
                  <c:v>69.789999999999992</c:v>
                </c:pt>
                <c:pt idx="277">
                  <c:v>125.53</c:v>
                </c:pt>
                <c:pt idx="278">
                  <c:v>69.42</c:v>
                </c:pt>
                <c:pt idx="279">
                  <c:v>190.97</c:v>
                </c:pt>
                <c:pt idx="280">
                  <c:v>59.379999999999995</c:v>
                </c:pt>
                <c:pt idx="281">
                  <c:v>57.31</c:v>
                </c:pt>
                <c:pt idx="282">
                  <c:v>97.41</c:v>
                </c:pt>
                <c:pt idx="283">
                  <c:v>41.12</c:v>
                </c:pt>
                <c:pt idx="284">
                  <c:v>28.03</c:v>
                </c:pt>
                <c:pt idx="285">
                  <c:v>36.299999999999997</c:v>
                </c:pt>
                <c:pt idx="286">
                  <c:v>48.06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4C-43DA-AB30-4F380B3C2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122192"/>
        <c:axId val="1355122672"/>
      </c:scatterChart>
      <c:valAx>
        <c:axId val="13551221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22672"/>
        <c:crosses val="autoZero"/>
        <c:crossBetween val="midCat"/>
      </c:valAx>
      <c:valAx>
        <c:axId val="1355122672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2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'RFM Analysis Table'!$J$3:$J$289</c:f>
              <c:numCache>
                <c:formatCode>0</c:formatCode>
                <c:ptCount val="287"/>
                <c:pt idx="0">
                  <c:v>99.656990740739275</c:v>
                </c:pt>
                <c:pt idx="1">
                  <c:v>69.656990740739275</c:v>
                </c:pt>
                <c:pt idx="2">
                  <c:v>207.65699074073927</c:v>
                </c:pt>
                <c:pt idx="3">
                  <c:v>119.65699074073927</c:v>
                </c:pt>
                <c:pt idx="4">
                  <c:v>83.656990740739275</c:v>
                </c:pt>
                <c:pt idx="5">
                  <c:v>211.65699074073927</c:v>
                </c:pt>
                <c:pt idx="6">
                  <c:v>113.65699074073927</c:v>
                </c:pt>
                <c:pt idx="7">
                  <c:v>88.656990740739275</c:v>
                </c:pt>
                <c:pt idx="8">
                  <c:v>93.656990740739275</c:v>
                </c:pt>
                <c:pt idx="9">
                  <c:v>86.656990740739275</c:v>
                </c:pt>
                <c:pt idx="10">
                  <c:v>111.65699074073927</c:v>
                </c:pt>
                <c:pt idx="11">
                  <c:v>77.656990740739275</c:v>
                </c:pt>
                <c:pt idx="12">
                  <c:v>136.65699074073927</c:v>
                </c:pt>
                <c:pt idx="13">
                  <c:v>182.65699074073927</c:v>
                </c:pt>
                <c:pt idx="14">
                  <c:v>244.65699074073927</c:v>
                </c:pt>
                <c:pt idx="15">
                  <c:v>161.65699074073927</c:v>
                </c:pt>
                <c:pt idx="16">
                  <c:v>201.65699074073927</c:v>
                </c:pt>
                <c:pt idx="17">
                  <c:v>134.65699074073927</c:v>
                </c:pt>
                <c:pt idx="18">
                  <c:v>161.65699074073927</c:v>
                </c:pt>
                <c:pt idx="19">
                  <c:v>195.65699074073927</c:v>
                </c:pt>
                <c:pt idx="20">
                  <c:v>77.656990740739275</c:v>
                </c:pt>
                <c:pt idx="21">
                  <c:v>160.65699074073927</c:v>
                </c:pt>
                <c:pt idx="22">
                  <c:v>142.65699074073927</c:v>
                </c:pt>
                <c:pt idx="23">
                  <c:v>109.65699074073927</c:v>
                </c:pt>
                <c:pt idx="24">
                  <c:v>211.65699074073927</c:v>
                </c:pt>
                <c:pt idx="25">
                  <c:v>198.65699074073927</c:v>
                </c:pt>
                <c:pt idx="26">
                  <c:v>183.65699074073927</c:v>
                </c:pt>
                <c:pt idx="27">
                  <c:v>130.65699074073927</c:v>
                </c:pt>
                <c:pt idx="28">
                  <c:v>341.65699074073927</c:v>
                </c:pt>
                <c:pt idx="29">
                  <c:v>203.65699074073927</c:v>
                </c:pt>
                <c:pt idx="30">
                  <c:v>95.656990740739275</c:v>
                </c:pt>
                <c:pt idx="31">
                  <c:v>282.65699074073927</c:v>
                </c:pt>
                <c:pt idx="32">
                  <c:v>242.65699074073927</c:v>
                </c:pt>
                <c:pt idx="33">
                  <c:v>84.656990740739275</c:v>
                </c:pt>
                <c:pt idx="34">
                  <c:v>145.65699074073927</c:v>
                </c:pt>
                <c:pt idx="35">
                  <c:v>124.65699074073927</c:v>
                </c:pt>
                <c:pt idx="36">
                  <c:v>92.656990740739275</c:v>
                </c:pt>
                <c:pt idx="37">
                  <c:v>98.656990740739275</c:v>
                </c:pt>
                <c:pt idx="38">
                  <c:v>261.65699074073927</c:v>
                </c:pt>
                <c:pt idx="39">
                  <c:v>226.65699074073927</c:v>
                </c:pt>
                <c:pt idx="40">
                  <c:v>289.65699074073927</c:v>
                </c:pt>
                <c:pt idx="41">
                  <c:v>181.65699074073927</c:v>
                </c:pt>
                <c:pt idx="42">
                  <c:v>149.65699074073927</c:v>
                </c:pt>
                <c:pt idx="43">
                  <c:v>242.65699074073927</c:v>
                </c:pt>
                <c:pt idx="44">
                  <c:v>187.65699074073927</c:v>
                </c:pt>
                <c:pt idx="45">
                  <c:v>264.65699074073927</c:v>
                </c:pt>
                <c:pt idx="46">
                  <c:v>217.65699074073927</c:v>
                </c:pt>
                <c:pt idx="47">
                  <c:v>141.65699074073927</c:v>
                </c:pt>
                <c:pt idx="48">
                  <c:v>116.65699074073927</c:v>
                </c:pt>
                <c:pt idx="49">
                  <c:v>88.656990740739275</c:v>
                </c:pt>
                <c:pt idx="50">
                  <c:v>162.65699074073927</c:v>
                </c:pt>
                <c:pt idx="51">
                  <c:v>178.65699074073927</c:v>
                </c:pt>
                <c:pt idx="52">
                  <c:v>94.656990740739275</c:v>
                </c:pt>
                <c:pt idx="53">
                  <c:v>178.65699074073927</c:v>
                </c:pt>
                <c:pt idx="54">
                  <c:v>204.65699074073927</c:v>
                </c:pt>
                <c:pt idx="55">
                  <c:v>92.656990740739275</c:v>
                </c:pt>
                <c:pt idx="56">
                  <c:v>95.656990740739275</c:v>
                </c:pt>
                <c:pt idx="57">
                  <c:v>280.65699074073927</c:v>
                </c:pt>
                <c:pt idx="58">
                  <c:v>244.65699074073927</c:v>
                </c:pt>
                <c:pt idx="59">
                  <c:v>191.65699074073927</c:v>
                </c:pt>
                <c:pt idx="60">
                  <c:v>87.656990740739275</c:v>
                </c:pt>
                <c:pt idx="61">
                  <c:v>69.656990740739275</c:v>
                </c:pt>
                <c:pt idx="62">
                  <c:v>76.656990740739275</c:v>
                </c:pt>
                <c:pt idx="63">
                  <c:v>321.65699074073927</c:v>
                </c:pt>
                <c:pt idx="64">
                  <c:v>216.65699074073927</c:v>
                </c:pt>
                <c:pt idx="65">
                  <c:v>125.65699074073927</c:v>
                </c:pt>
                <c:pt idx="66">
                  <c:v>84.656990740739275</c:v>
                </c:pt>
                <c:pt idx="67">
                  <c:v>261.65699074073927</c:v>
                </c:pt>
                <c:pt idx="68">
                  <c:v>242.65699074073927</c:v>
                </c:pt>
                <c:pt idx="69">
                  <c:v>244.65699074073927</c:v>
                </c:pt>
                <c:pt idx="70">
                  <c:v>203.65699074073927</c:v>
                </c:pt>
                <c:pt idx="71">
                  <c:v>140.65699074073927</c:v>
                </c:pt>
                <c:pt idx="72">
                  <c:v>181.65699074073927</c:v>
                </c:pt>
                <c:pt idx="73">
                  <c:v>75.656990740739275</c:v>
                </c:pt>
                <c:pt idx="74">
                  <c:v>92.656990740739275</c:v>
                </c:pt>
                <c:pt idx="75">
                  <c:v>131.65699074073927</c:v>
                </c:pt>
                <c:pt idx="76">
                  <c:v>286.65699074073927</c:v>
                </c:pt>
                <c:pt idx="77">
                  <c:v>69.656990740739275</c:v>
                </c:pt>
                <c:pt idx="78">
                  <c:v>103.65699074073927</c:v>
                </c:pt>
                <c:pt idx="79">
                  <c:v>250.65699074073927</c:v>
                </c:pt>
                <c:pt idx="80">
                  <c:v>108.65699074073927</c:v>
                </c:pt>
                <c:pt idx="81">
                  <c:v>214.65699074073927</c:v>
                </c:pt>
                <c:pt idx="82">
                  <c:v>209.65699074073927</c:v>
                </c:pt>
                <c:pt idx="83">
                  <c:v>142.65699074073927</c:v>
                </c:pt>
                <c:pt idx="84">
                  <c:v>82.656990740739275</c:v>
                </c:pt>
                <c:pt idx="85">
                  <c:v>214.65699074073927</c:v>
                </c:pt>
                <c:pt idx="86">
                  <c:v>69.656990740739275</c:v>
                </c:pt>
                <c:pt idx="87">
                  <c:v>303.65699074073927</c:v>
                </c:pt>
                <c:pt idx="88">
                  <c:v>117.65699074073927</c:v>
                </c:pt>
                <c:pt idx="89">
                  <c:v>123.65699074073927</c:v>
                </c:pt>
                <c:pt idx="90">
                  <c:v>243.65699074073927</c:v>
                </c:pt>
                <c:pt idx="91">
                  <c:v>69.656990740739275</c:v>
                </c:pt>
                <c:pt idx="92">
                  <c:v>85.656990740739275</c:v>
                </c:pt>
                <c:pt idx="93">
                  <c:v>301.65699074073927</c:v>
                </c:pt>
                <c:pt idx="94">
                  <c:v>243.65699074073927</c:v>
                </c:pt>
                <c:pt idx="95">
                  <c:v>71.656990740739275</c:v>
                </c:pt>
                <c:pt idx="96">
                  <c:v>398.65699074073927</c:v>
                </c:pt>
                <c:pt idx="97">
                  <c:v>88.656990740739275</c:v>
                </c:pt>
                <c:pt idx="98">
                  <c:v>334.65699074073927</c:v>
                </c:pt>
                <c:pt idx="99">
                  <c:v>104.65699074073927</c:v>
                </c:pt>
                <c:pt idx="100">
                  <c:v>195.65699074073927</c:v>
                </c:pt>
                <c:pt idx="101">
                  <c:v>149.65699074073927</c:v>
                </c:pt>
                <c:pt idx="102">
                  <c:v>397.65699074073927</c:v>
                </c:pt>
                <c:pt idx="103">
                  <c:v>160.65699074073927</c:v>
                </c:pt>
                <c:pt idx="104">
                  <c:v>74.656990740739275</c:v>
                </c:pt>
                <c:pt idx="105">
                  <c:v>179.65699074073927</c:v>
                </c:pt>
                <c:pt idx="106">
                  <c:v>116.65699074073927</c:v>
                </c:pt>
                <c:pt idx="107">
                  <c:v>154.65699074073927</c:v>
                </c:pt>
                <c:pt idx="108">
                  <c:v>167.65699074073927</c:v>
                </c:pt>
                <c:pt idx="109">
                  <c:v>201.65699074073927</c:v>
                </c:pt>
                <c:pt idx="110">
                  <c:v>83.656990740739275</c:v>
                </c:pt>
                <c:pt idx="111">
                  <c:v>150.65699074073927</c:v>
                </c:pt>
                <c:pt idx="112">
                  <c:v>122.65699074073927</c:v>
                </c:pt>
                <c:pt idx="113">
                  <c:v>92.656990740739275</c:v>
                </c:pt>
                <c:pt idx="114">
                  <c:v>185.65699074073927</c:v>
                </c:pt>
                <c:pt idx="115">
                  <c:v>124.65699074073927</c:v>
                </c:pt>
                <c:pt idx="116">
                  <c:v>130.65699074073927</c:v>
                </c:pt>
                <c:pt idx="117">
                  <c:v>254.65699074073927</c:v>
                </c:pt>
                <c:pt idx="118">
                  <c:v>267.65699074073927</c:v>
                </c:pt>
                <c:pt idx="119">
                  <c:v>250.65699074073927</c:v>
                </c:pt>
                <c:pt idx="120">
                  <c:v>206.65699074073927</c:v>
                </c:pt>
                <c:pt idx="121">
                  <c:v>96.656990740739275</c:v>
                </c:pt>
                <c:pt idx="122">
                  <c:v>214.65699074073927</c:v>
                </c:pt>
                <c:pt idx="123">
                  <c:v>219.65699074073927</c:v>
                </c:pt>
                <c:pt idx="124">
                  <c:v>80.656990740739275</c:v>
                </c:pt>
                <c:pt idx="125">
                  <c:v>145.65699074073927</c:v>
                </c:pt>
                <c:pt idx="126">
                  <c:v>106.65699074073927</c:v>
                </c:pt>
                <c:pt idx="127">
                  <c:v>170.65699074073927</c:v>
                </c:pt>
                <c:pt idx="128">
                  <c:v>96.656990740739275</c:v>
                </c:pt>
                <c:pt idx="129">
                  <c:v>75.656990740739275</c:v>
                </c:pt>
                <c:pt idx="130">
                  <c:v>245.65699074073927</c:v>
                </c:pt>
                <c:pt idx="131">
                  <c:v>276.65699074073927</c:v>
                </c:pt>
                <c:pt idx="132">
                  <c:v>103.65699074073927</c:v>
                </c:pt>
                <c:pt idx="133">
                  <c:v>79.656990740739275</c:v>
                </c:pt>
                <c:pt idx="134">
                  <c:v>118.65699074073927</c:v>
                </c:pt>
                <c:pt idx="135">
                  <c:v>152.65699074073927</c:v>
                </c:pt>
                <c:pt idx="136">
                  <c:v>192.65699074073927</c:v>
                </c:pt>
                <c:pt idx="137">
                  <c:v>119.65699074073927</c:v>
                </c:pt>
                <c:pt idx="138">
                  <c:v>166.65699074073927</c:v>
                </c:pt>
                <c:pt idx="139">
                  <c:v>90.656990740739275</c:v>
                </c:pt>
                <c:pt idx="140">
                  <c:v>114.65699074073927</c:v>
                </c:pt>
                <c:pt idx="141">
                  <c:v>315.65699074073927</c:v>
                </c:pt>
                <c:pt idx="142">
                  <c:v>231.65699074073927</c:v>
                </c:pt>
                <c:pt idx="143">
                  <c:v>151.65699074073927</c:v>
                </c:pt>
                <c:pt idx="144">
                  <c:v>159.65699074073927</c:v>
                </c:pt>
                <c:pt idx="145">
                  <c:v>129.65699074073927</c:v>
                </c:pt>
                <c:pt idx="146">
                  <c:v>181.65699074073927</c:v>
                </c:pt>
                <c:pt idx="147">
                  <c:v>333.65699074073927</c:v>
                </c:pt>
                <c:pt idx="148">
                  <c:v>117.65699074073927</c:v>
                </c:pt>
                <c:pt idx="149">
                  <c:v>123.65699074073927</c:v>
                </c:pt>
                <c:pt idx="150">
                  <c:v>113.65699074073927</c:v>
                </c:pt>
                <c:pt idx="151">
                  <c:v>78.656990740739275</c:v>
                </c:pt>
                <c:pt idx="152">
                  <c:v>85.656990740739275</c:v>
                </c:pt>
                <c:pt idx="153">
                  <c:v>201.65699074073927</c:v>
                </c:pt>
                <c:pt idx="154">
                  <c:v>283.65699074073927</c:v>
                </c:pt>
                <c:pt idx="155">
                  <c:v>169.65699074073927</c:v>
                </c:pt>
                <c:pt idx="156">
                  <c:v>187.65699074073927</c:v>
                </c:pt>
                <c:pt idx="157">
                  <c:v>73.656990740739275</c:v>
                </c:pt>
                <c:pt idx="158">
                  <c:v>316.65699074073927</c:v>
                </c:pt>
                <c:pt idx="159">
                  <c:v>111.65699074073927</c:v>
                </c:pt>
                <c:pt idx="160">
                  <c:v>391.65699074073927</c:v>
                </c:pt>
                <c:pt idx="161">
                  <c:v>99.656990740739275</c:v>
                </c:pt>
                <c:pt idx="162">
                  <c:v>146.65699074073927</c:v>
                </c:pt>
                <c:pt idx="163">
                  <c:v>123.65699074073927</c:v>
                </c:pt>
                <c:pt idx="164">
                  <c:v>96.656990740739275</c:v>
                </c:pt>
                <c:pt idx="165">
                  <c:v>107.65699074073927</c:v>
                </c:pt>
                <c:pt idx="166">
                  <c:v>99.656990740739275</c:v>
                </c:pt>
                <c:pt idx="167">
                  <c:v>109.65699074073927</c:v>
                </c:pt>
                <c:pt idx="168">
                  <c:v>84.656990740739275</c:v>
                </c:pt>
                <c:pt idx="169">
                  <c:v>163.65699074073927</c:v>
                </c:pt>
                <c:pt idx="170">
                  <c:v>105.65699074073927</c:v>
                </c:pt>
                <c:pt idx="171">
                  <c:v>398.65699074073927</c:v>
                </c:pt>
                <c:pt idx="172">
                  <c:v>251.65699074073927</c:v>
                </c:pt>
                <c:pt idx="173">
                  <c:v>177.65699074073927</c:v>
                </c:pt>
                <c:pt idx="174">
                  <c:v>148.65699074073927</c:v>
                </c:pt>
                <c:pt idx="175">
                  <c:v>221.65699074073927</c:v>
                </c:pt>
                <c:pt idx="176">
                  <c:v>82.656990740739275</c:v>
                </c:pt>
                <c:pt idx="177">
                  <c:v>269.65699074073927</c:v>
                </c:pt>
                <c:pt idx="178">
                  <c:v>196.65699074073927</c:v>
                </c:pt>
                <c:pt idx="179">
                  <c:v>109.65699074073927</c:v>
                </c:pt>
                <c:pt idx="180">
                  <c:v>326.65699074073927</c:v>
                </c:pt>
                <c:pt idx="181">
                  <c:v>240.65699074073927</c:v>
                </c:pt>
                <c:pt idx="182">
                  <c:v>132.65699074073927</c:v>
                </c:pt>
                <c:pt idx="183">
                  <c:v>115.65699074073927</c:v>
                </c:pt>
                <c:pt idx="184">
                  <c:v>201.65699074073927</c:v>
                </c:pt>
                <c:pt idx="185">
                  <c:v>291.65699074073927</c:v>
                </c:pt>
                <c:pt idx="186">
                  <c:v>77.656990740739275</c:v>
                </c:pt>
                <c:pt idx="187">
                  <c:v>217.65699074073927</c:v>
                </c:pt>
                <c:pt idx="188">
                  <c:v>194.65699074073927</c:v>
                </c:pt>
                <c:pt idx="189">
                  <c:v>111.65699074073927</c:v>
                </c:pt>
                <c:pt idx="190">
                  <c:v>122.65699074073927</c:v>
                </c:pt>
                <c:pt idx="191">
                  <c:v>74.656990740739275</c:v>
                </c:pt>
                <c:pt idx="192">
                  <c:v>88.656990740739275</c:v>
                </c:pt>
                <c:pt idx="193">
                  <c:v>82.656990740739275</c:v>
                </c:pt>
                <c:pt idx="194">
                  <c:v>325.65699074073927</c:v>
                </c:pt>
                <c:pt idx="195">
                  <c:v>86.656990740739275</c:v>
                </c:pt>
                <c:pt idx="196">
                  <c:v>192.65699074073927</c:v>
                </c:pt>
                <c:pt idx="197">
                  <c:v>252.65699074073927</c:v>
                </c:pt>
                <c:pt idx="198">
                  <c:v>93.656990740739275</c:v>
                </c:pt>
                <c:pt idx="199">
                  <c:v>214.65699074073927</c:v>
                </c:pt>
                <c:pt idx="200">
                  <c:v>214.65699074073927</c:v>
                </c:pt>
                <c:pt idx="201">
                  <c:v>247.65699074073927</c:v>
                </c:pt>
                <c:pt idx="202">
                  <c:v>86.656990740739275</c:v>
                </c:pt>
                <c:pt idx="203">
                  <c:v>69.656990740739275</c:v>
                </c:pt>
                <c:pt idx="204">
                  <c:v>205.65699074073927</c:v>
                </c:pt>
                <c:pt idx="205">
                  <c:v>242.65699074073927</c:v>
                </c:pt>
                <c:pt idx="206">
                  <c:v>138.65699074073927</c:v>
                </c:pt>
                <c:pt idx="207">
                  <c:v>153.65699074073927</c:v>
                </c:pt>
                <c:pt idx="208">
                  <c:v>88.656990740739275</c:v>
                </c:pt>
                <c:pt idx="209">
                  <c:v>73.656990740739275</c:v>
                </c:pt>
                <c:pt idx="210">
                  <c:v>151.65699074073927</c:v>
                </c:pt>
                <c:pt idx="211">
                  <c:v>406.65699074073927</c:v>
                </c:pt>
                <c:pt idx="212">
                  <c:v>70.656990740739275</c:v>
                </c:pt>
                <c:pt idx="213">
                  <c:v>121.65699074073927</c:v>
                </c:pt>
                <c:pt idx="214">
                  <c:v>74.656990740739275</c:v>
                </c:pt>
                <c:pt idx="215">
                  <c:v>169.65699074073927</c:v>
                </c:pt>
                <c:pt idx="216">
                  <c:v>88.656990740739275</c:v>
                </c:pt>
                <c:pt idx="217">
                  <c:v>130.65699074073927</c:v>
                </c:pt>
                <c:pt idx="218">
                  <c:v>134.65699074073927</c:v>
                </c:pt>
                <c:pt idx="219">
                  <c:v>132.65699074073927</c:v>
                </c:pt>
                <c:pt idx="220">
                  <c:v>128.65699074073927</c:v>
                </c:pt>
                <c:pt idx="221">
                  <c:v>133.65699074073927</c:v>
                </c:pt>
                <c:pt idx="222">
                  <c:v>210.65699074073927</c:v>
                </c:pt>
                <c:pt idx="223">
                  <c:v>157.65699074073927</c:v>
                </c:pt>
                <c:pt idx="224">
                  <c:v>97.656990740739275</c:v>
                </c:pt>
                <c:pt idx="225">
                  <c:v>103.65699074073927</c:v>
                </c:pt>
                <c:pt idx="226">
                  <c:v>70.656990740739275</c:v>
                </c:pt>
                <c:pt idx="227">
                  <c:v>237.65699074073927</c:v>
                </c:pt>
                <c:pt idx="228">
                  <c:v>150.65699074073927</c:v>
                </c:pt>
                <c:pt idx="229">
                  <c:v>86.656990740739275</c:v>
                </c:pt>
                <c:pt idx="230">
                  <c:v>103.65699074073927</c:v>
                </c:pt>
                <c:pt idx="231">
                  <c:v>79.656990740739275</c:v>
                </c:pt>
                <c:pt idx="232">
                  <c:v>195.65699074073927</c:v>
                </c:pt>
                <c:pt idx="233">
                  <c:v>255.65699074073927</c:v>
                </c:pt>
                <c:pt idx="234">
                  <c:v>79.656990740739275</c:v>
                </c:pt>
                <c:pt idx="235">
                  <c:v>232.65699074073927</c:v>
                </c:pt>
                <c:pt idx="236">
                  <c:v>129.65699074073927</c:v>
                </c:pt>
                <c:pt idx="237">
                  <c:v>170.65699074073927</c:v>
                </c:pt>
                <c:pt idx="238">
                  <c:v>148.65699074073927</c:v>
                </c:pt>
                <c:pt idx="239">
                  <c:v>92.656990740739275</c:v>
                </c:pt>
                <c:pt idx="240">
                  <c:v>298.65699074073927</c:v>
                </c:pt>
                <c:pt idx="241">
                  <c:v>321.65699074073927</c:v>
                </c:pt>
                <c:pt idx="242">
                  <c:v>175.65699074073927</c:v>
                </c:pt>
                <c:pt idx="243">
                  <c:v>94.656990740739275</c:v>
                </c:pt>
                <c:pt idx="244">
                  <c:v>320.65699074073927</c:v>
                </c:pt>
                <c:pt idx="245">
                  <c:v>316.65699074073927</c:v>
                </c:pt>
                <c:pt idx="246">
                  <c:v>155.65699074073927</c:v>
                </c:pt>
                <c:pt idx="247">
                  <c:v>108.65699074073927</c:v>
                </c:pt>
                <c:pt idx="248">
                  <c:v>76.656990740739275</c:v>
                </c:pt>
                <c:pt idx="249">
                  <c:v>157.65699074073927</c:v>
                </c:pt>
                <c:pt idx="250">
                  <c:v>96.656990740739275</c:v>
                </c:pt>
                <c:pt idx="251">
                  <c:v>74.656990740739275</c:v>
                </c:pt>
                <c:pt idx="252">
                  <c:v>161.65699074073927</c:v>
                </c:pt>
                <c:pt idx="253">
                  <c:v>195.65699074073927</c:v>
                </c:pt>
                <c:pt idx="254">
                  <c:v>281.65699074073927</c:v>
                </c:pt>
                <c:pt idx="255">
                  <c:v>254.65699074073927</c:v>
                </c:pt>
                <c:pt idx="256">
                  <c:v>198.65699074073927</c:v>
                </c:pt>
                <c:pt idx="257">
                  <c:v>112.65699074073927</c:v>
                </c:pt>
                <c:pt idx="258">
                  <c:v>429.65699074073927</c:v>
                </c:pt>
                <c:pt idx="259">
                  <c:v>261.65699074073927</c:v>
                </c:pt>
                <c:pt idx="260">
                  <c:v>108.65699074073927</c:v>
                </c:pt>
                <c:pt idx="261">
                  <c:v>318.65699074073927</c:v>
                </c:pt>
                <c:pt idx="262">
                  <c:v>283.65699074073927</c:v>
                </c:pt>
                <c:pt idx="263">
                  <c:v>206.65699074073927</c:v>
                </c:pt>
                <c:pt idx="264">
                  <c:v>155.65699074073927</c:v>
                </c:pt>
                <c:pt idx="265">
                  <c:v>406.65699074073927</c:v>
                </c:pt>
                <c:pt idx="266">
                  <c:v>264.65699074073927</c:v>
                </c:pt>
                <c:pt idx="267">
                  <c:v>266.65699074073927</c:v>
                </c:pt>
                <c:pt idx="268">
                  <c:v>94.656990740739275</c:v>
                </c:pt>
                <c:pt idx="269">
                  <c:v>107.65699074073927</c:v>
                </c:pt>
                <c:pt idx="270">
                  <c:v>126.65699074073927</c:v>
                </c:pt>
                <c:pt idx="271">
                  <c:v>154.65699074073927</c:v>
                </c:pt>
                <c:pt idx="272">
                  <c:v>89.656990740739275</c:v>
                </c:pt>
                <c:pt idx="273">
                  <c:v>94.656990740739275</c:v>
                </c:pt>
                <c:pt idx="274">
                  <c:v>116.65699074073927</c:v>
                </c:pt>
                <c:pt idx="275">
                  <c:v>152.65699074073927</c:v>
                </c:pt>
                <c:pt idx="276">
                  <c:v>301.65699074073927</c:v>
                </c:pt>
                <c:pt idx="277">
                  <c:v>88.656990740739275</c:v>
                </c:pt>
                <c:pt idx="278">
                  <c:v>133.65699074073927</c:v>
                </c:pt>
                <c:pt idx="279">
                  <c:v>85.656990740739275</c:v>
                </c:pt>
                <c:pt idx="280">
                  <c:v>193.65699074073927</c:v>
                </c:pt>
                <c:pt idx="281">
                  <c:v>159.65699074073927</c:v>
                </c:pt>
                <c:pt idx="282">
                  <c:v>114.65699074073927</c:v>
                </c:pt>
                <c:pt idx="283">
                  <c:v>74.656990740739275</c:v>
                </c:pt>
                <c:pt idx="284">
                  <c:v>116.65699074073927</c:v>
                </c:pt>
                <c:pt idx="285">
                  <c:v>74.656990740739275</c:v>
                </c:pt>
                <c:pt idx="286">
                  <c:v>183.65699074073927</c:v>
                </c:pt>
              </c:numCache>
            </c:numRef>
          </c:xVal>
          <c:yVal>
            <c:numRef>
              <c:f>'RFM Analysis Table'!$L$3:$L$289</c:f>
              <c:numCache>
                <c:formatCode>General</c:formatCode>
                <c:ptCount val="287"/>
                <c:pt idx="0">
                  <c:v>64.5</c:v>
                </c:pt>
                <c:pt idx="1">
                  <c:v>53.9</c:v>
                </c:pt>
                <c:pt idx="2">
                  <c:v>75.75</c:v>
                </c:pt>
                <c:pt idx="3">
                  <c:v>123.07</c:v>
                </c:pt>
                <c:pt idx="4">
                  <c:v>63.34</c:v>
                </c:pt>
                <c:pt idx="5">
                  <c:v>104.63000000000001</c:v>
                </c:pt>
                <c:pt idx="6">
                  <c:v>106.62</c:v>
                </c:pt>
                <c:pt idx="7">
                  <c:v>139.02000000000001</c:v>
                </c:pt>
                <c:pt idx="8">
                  <c:v>35.17</c:v>
                </c:pt>
                <c:pt idx="9">
                  <c:v>128.11000000000001</c:v>
                </c:pt>
                <c:pt idx="10">
                  <c:v>187.09000000000003</c:v>
                </c:pt>
                <c:pt idx="11">
                  <c:v>30.9</c:v>
                </c:pt>
                <c:pt idx="12">
                  <c:v>132.01</c:v>
                </c:pt>
                <c:pt idx="13">
                  <c:v>58.190000000000005</c:v>
                </c:pt>
                <c:pt idx="14">
                  <c:v>39.26</c:v>
                </c:pt>
                <c:pt idx="15">
                  <c:v>90.009999999999991</c:v>
                </c:pt>
                <c:pt idx="16">
                  <c:v>68.16</c:v>
                </c:pt>
                <c:pt idx="17">
                  <c:v>50.73</c:v>
                </c:pt>
                <c:pt idx="18">
                  <c:v>52.31</c:v>
                </c:pt>
                <c:pt idx="19">
                  <c:v>57.05</c:v>
                </c:pt>
                <c:pt idx="20">
                  <c:v>50.93</c:v>
                </c:pt>
                <c:pt idx="21">
                  <c:v>62.489999999999995</c:v>
                </c:pt>
                <c:pt idx="22">
                  <c:v>16.66</c:v>
                </c:pt>
                <c:pt idx="23">
                  <c:v>109.94</c:v>
                </c:pt>
                <c:pt idx="24">
                  <c:v>95.759999999999991</c:v>
                </c:pt>
                <c:pt idx="25">
                  <c:v>70.66</c:v>
                </c:pt>
                <c:pt idx="26">
                  <c:v>4.8600000000000003</c:v>
                </c:pt>
                <c:pt idx="27">
                  <c:v>130.92000000000002</c:v>
                </c:pt>
                <c:pt idx="28">
                  <c:v>9.42</c:v>
                </c:pt>
                <c:pt idx="29">
                  <c:v>26.84</c:v>
                </c:pt>
                <c:pt idx="30">
                  <c:v>5.71</c:v>
                </c:pt>
                <c:pt idx="31">
                  <c:v>15.89</c:v>
                </c:pt>
                <c:pt idx="32">
                  <c:v>58.38</c:v>
                </c:pt>
                <c:pt idx="33">
                  <c:v>72.06</c:v>
                </c:pt>
                <c:pt idx="34">
                  <c:v>40.36</c:v>
                </c:pt>
                <c:pt idx="35">
                  <c:v>44.35</c:v>
                </c:pt>
                <c:pt idx="36">
                  <c:v>167.44</c:v>
                </c:pt>
                <c:pt idx="37">
                  <c:v>101.46000000000001</c:v>
                </c:pt>
                <c:pt idx="38">
                  <c:v>63.980000000000004</c:v>
                </c:pt>
                <c:pt idx="39">
                  <c:v>106.78</c:v>
                </c:pt>
                <c:pt idx="40">
                  <c:v>12.17</c:v>
                </c:pt>
                <c:pt idx="41">
                  <c:v>10.379999999999999</c:v>
                </c:pt>
                <c:pt idx="42">
                  <c:v>23.240000000000002</c:v>
                </c:pt>
                <c:pt idx="43">
                  <c:v>65.58</c:v>
                </c:pt>
                <c:pt idx="44">
                  <c:v>90.01</c:v>
                </c:pt>
                <c:pt idx="45">
                  <c:v>32.14</c:v>
                </c:pt>
                <c:pt idx="46">
                  <c:v>32.49</c:v>
                </c:pt>
                <c:pt idx="47">
                  <c:v>86.679999999999993</c:v>
                </c:pt>
                <c:pt idx="48">
                  <c:v>52.57</c:v>
                </c:pt>
                <c:pt idx="49">
                  <c:v>13.86</c:v>
                </c:pt>
                <c:pt idx="50">
                  <c:v>14.21</c:v>
                </c:pt>
                <c:pt idx="51">
                  <c:v>81.3</c:v>
                </c:pt>
                <c:pt idx="52">
                  <c:v>10.48</c:v>
                </c:pt>
                <c:pt idx="53">
                  <c:v>24.63</c:v>
                </c:pt>
                <c:pt idx="54">
                  <c:v>83.66</c:v>
                </c:pt>
                <c:pt idx="55">
                  <c:v>99.24</c:v>
                </c:pt>
                <c:pt idx="56">
                  <c:v>88.919999999999987</c:v>
                </c:pt>
                <c:pt idx="57">
                  <c:v>46.61</c:v>
                </c:pt>
                <c:pt idx="58">
                  <c:v>51.039999999999992</c:v>
                </c:pt>
                <c:pt idx="59">
                  <c:v>96.279999999999987</c:v>
                </c:pt>
                <c:pt idx="60">
                  <c:v>49.8</c:v>
                </c:pt>
                <c:pt idx="61">
                  <c:v>23.78</c:v>
                </c:pt>
                <c:pt idx="62">
                  <c:v>56.19</c:v>
                </c:pt>
                <c:pt idx="63">
                  <c:v>50.21</c:v>
                </c:pt>
                <c:pt idx="64">
                  <c:v>40.29</c:v>
                </c:pt>
                <c:pt idx="65">
                  <c:v>56.240000000000009</c:v>
                </c:pt>
                <c:pt idx="66">
                  <c:v>13.79</c:v>
                </c:pt>
                <c:pt idx="67">
                  <c:v>41.33</c:v>
                </c:pt>
                <c:pt idx="68">
                  <c:v>142.38</c:v>
                </c:pt>
                <c:pt idx="69">
                  <c:v>20.810000000000002</c:v>
                </c:pt>
                <c:pt idx="70">
                  <c:v>60.87</c:v>
                </c:pt>
                <c:pt idx="71">
                  <c:v>75.69</c:v>
                </c:pt>
                <c:pt idx="72">
                  <c:v>91.19</c:v>
                </c:pt>
                <c:pt idx="73">
                  <c:v>70.13</c:v>
                </c:pt>
                <c:pt idx="74">
                  <c:v>38.49</c:v>
                </c:pt>
                <c:pt idx="75">
                  <c:v>80.930000000000007</c:v>
                </c:pt>
                <c:pt idx="76">
                  <c:v>52.34</c:v>
                </c:pt>
                <c:pt idx="77">
                  <c:v>88.89</c:v>
                </c:pt>
                <c:pt idx="78">
                  <c:v>123.51</c:v>
                </c:pt>
                <c:pt idx="79">
                  <c:v>41.95</c:v>
                </c:pt>
                <c:pt idx="80">
                  <c:v>30.27</c:v>
                </c:pt>
                <c:pt idx="81">
                  <c:v>57.61</c:v>
                </c:pt>
                <c:pt idx="82">
                  <c:v>21.91</c:v>
                </c:pt>
                <c:pt idx="83">
                  <c:v>60.04</c:v>
                </c:pt>
                <c:pt idx="84">
                  <c:v>49.970000000000006</c:v>
                </c:pt>
                <c:pt idx="85">
                  <c:v>113.27000000000001</c:v>
                </c:pt>
                <c:pt idx="86">
                  <c:v>64.37</c:v>
                </c:pt>
                <c:pt idx="87">
                  <c:v>11.82</c:v>
                </c:pt>
                <c:pt idx="88">
                  <c:v>31.41</c:v>
                </c:pt>
                <c:pt idx="89">
                  <c:v>95.009999999999991</c:v>
                </c:pt>
                <c:pt idx="90">
                  <c:v>32.729999999999997</c:v>
                </c:pt>
                <c:pt idx="91">
                  <c:v>122.55000000000001</c:v>
                </c:pt>
                <c:pt idx="92">
                  <c:v>58.25</c:v>
                </c:pt>
                <c:pt idx="93">
                  <c:v>18.39</c:v>
                </c:pt>
                <c:pt idx="94">
                  <c:v>70.75</c:v>
                </c:pt>
                <c:pt idx="95">
                  <c:v>108.92</c:v>
                </c:pt>
                <c:pt idx="96">
                  <c:v>22.2</c:v>
                </c:pt>
                <c:pt idx="97">
                  <c:v>164.74</c:v>
                </c:pt>
                <c:pt idx="98">
                  <c:v>19.489999999999998</c:v>
                </c:pt>
                <c:pt idx="99">
                  <c:v>91.44</c:v>
                </c:pt>
                <c:pt idx="100">
                  <c:v>29.130000000000003</c:v>
                </c:pt>
                <c:pt idx="101">
                  <c:v>72.05</c:v>
                </c:pt>
                <c:pt idx="102">
                  <c:v>8.01</c:v>
                </c:pt>
                <c:pt idx="103">
                  <c:v>52.1</c:v>
                </c:pt>
                <c:pt idx="104">
                  <c:v>108.17999999999999</c:v>
                </c:pt>
                <c:pt idx="105">
                  <c:v>11.81</c:v>
                </c:pt>
                <c:pt idx="106">
                  <c:v>36.65</c:v>
                </c:pt>
                <c:pt idx="107">
                  <c:v>57.95</c:v>
                </c:pt>
                <c:pt idx="108">
                  <c:v>52.660000000000004</c:v>
                </c:pt>
                <c:pt idx="109">
                  <c:v>4.38</c:v>
                </c:pt>
                <c:pt idx="110">
                  <c:v>150.87</c:v>
                </c:pt>
                <c:pt idx="111">
                  <c:v>46.040000000000006</c:v>
                </c:pt>
                <c:pt idx="112">
                  <c:v>106.08</c:v>
                </c:pt>
                <c:pt idx="113">
                  <c:v>88.56</c:v>
                </c:pt>
                <c:pt idx="114">
                  <c:v>44.730000000000004</c:v>
                </c:pt>
                <c:pt idx="115">
                  <c:v>45.870000000000005</c:v>
                </c:pt>
                <c:pt idx="116">
                  <c:v>59.820000000000007</c:v>
                </c:pt>
                <c:pt idx="117">
                  <c:v>27.5</c:v>
                </c:pt>
                <c:pt idx="118">
                  <c:v>41.379999999999995</c:v>
                </c:pt>
                <c:pt idx="119">
                  <c:v>20.420000000000002</c:v>
                </c:pt>
                <c:pt idx="120">
                  <c:v>23.58</c:v>
                </c:pt>
                <c:pt idx="121">
                  <c:v>53.66</c:v>
                </c:pt>
                <c:pt idx="122">
                  <c:v>46.099999999999994</c:v>
                </c:pt>
                <c:pt idx="123">
                  <c:v>70.78</c:v>
                </c:pt>
                <c:pt idx="124">
                  <c:v>131.69</c:v>
                </c:pt>
                <c:pt idx="125">
                  <c:v>65.009999999999991</c:v>
                </c:pt>
                <c:pt idx="126">
                  <c:v>57.97</c:v>
                </c:pt>
                <c:pt idx="127">
                  <c:v>53.77</c:v>
                </c:pt>
                <c:pt idx="128">
                  <c:v>52.02</c:v>
                </c:pt>
                <c:pt idx="129">
                  <c:v>34.400000000000006</c:v>
                </c:pt>
                <c:pt idx="130">
                  <c:v>15.44</c:v>
                </c:pt>
                <c:pt idx="131">
                  <c:v>27.37</c:v>
                </c:pt>
                <c:pt idx="132">
                  <c:v>35.08</c:v>
                </c:pt>
                <c:pt idx="133">
                  <c:v>40.78</c:v>
                </c:pt>
                <c:pt idx="134">
                  <c:v>170.41</c:v>
                </c:pt>
                <c:pt idx="135">
                  <c:v>16.04</c:v>
                </c:pt>
                <c:pt idx="136">
                  <c:v>85.98</c:v>
                </c:pt>
                <c:pt idx="137">
                  <c:v>64.989999999999995</c:v>
                </c:pt>
                <c:pt idx="138">
                  <c:v>98.47999999999999</c:v>
                </c:pt>
                <c:pt idx="139">
                  <c:v>90.62</c:v>
                </c:pt>
                <c:pt idx="140">
                  <c:v>61.65</c:v>
                </c:pt>
                <c:pt idx="141">
                  <c:v>90.490000000000009</c:v>
                </c:pt>
                <c:pt idx="142">
                  <c:v>21.74</c:v>
                </c:pt>
                <c:pt idx="143">
                  <c:v>92.440000000000012</c:v>
                </c:pt>
                <c:pt idx="144">
                  <c:v>92.68</c:v>
                </c:pt>
                <c:pt idx="145">
                  <c:v>88.160000000000011</c:v>
                </c:pt>
                <c:pt idx="146">
                  <c:v>33.090000000000003</c:v>
                </c:pt>
                <c:pt idx="147">
                  <c:v>72.319999999999993</c:v>
                </c:pt>
                <c:pt idx="148">
                  <c:v>132.82999999999998</c:v>
                </c:pt>
                <c:pt idx="149">
                  <c:v>77.510000000000005</c:v>
                </c:pt>
                <c:pt idx="150">
                  <c:v>85.34</c:v>
                </c:pt>
                <c:pt idx="151">
                  <c:v>59.02</c:v>
                </c:pt>
                <c:pt idx="152">
                  <c:v>103.61000000000001</c:v>
                </c:pt>
                <c:pt idx="153">
                  <c:v>14.67</c:v>
                </c:pt>
                <c:pt idx="154">
                  <c:v>29.840000000000003</c:v>
                </c:pt>
                <c:pt idx="155">
                  <c:v>52.29</c:v>
                </c:pt>
                <c:pt idx="156">
                  <c:v>85.34</c:v>
                </c:pt>
                <c:pt idx="157">
                  <c:v>137.26</c:v>
                </c:pt>
                <c:pt idx="158">
                  <c:v>10.17</c:v>
                </c:pt>
                <c:pt idx="159">
                  <c:v>58.050000000000004</c:v>
                </c:pt>
                <c:pt idx="160">
                  <c:v>53.61</c:v>
                </c:pt>
                <c:pt idx="161">
                  <c:v>62.59</c:v>
                </c:pt>
                <c:pt idx="162">
                  <c:v>37.590000000000003</c:v>
                </c:pt>
                <c:pt idx="163">
                  <c:v>61.62</c:v>
                </c:pt>
                <c:pt idx="164">
                  <c:v>52.510000000000005</c:v>
                </c:pt>
                <c:pt idx="165">
                  <c:v>55.1</c:v>
                </c:pt>
                <c:pt idx="166">
                  <c:v>86.22</c:v>
                </c:pt>
                <c:pt idx="167">
                  <c:v>107.85</c:v>
                </c:pt>
                <c:pt idx="168">
                  <c:v>122.91</c:v>
                </c:pt>
                <c:pt idx="169">
                  <c:v>114.12</c:v>
                </c:pt>
                <c:pt idx="170">
                  <c:v>55.540000000000006</c:v>
                </c:pt>
                <c:pt idx="171">
                  <c:v>12.12</c:v>
                </c:pt>
                <c:pt idx="172">
                  <c:v>34.24</c:v>
                </c:pt>
                <c:pt idx="173">
                  <c:v>33.46</c:v>
                </c:pt>
                <c:pt idx="174">
                  <c:v>76.81</c:v>
                </c:pt>
                <c:pt idx="175">
                  <c:v>9.69</c:v>
                </c:pt>
                <c:pt idx="176">
                  <c:v>32.299999999999997</c:v>
                </c:pt>
                <c:pt idx="177">
                  <c:v>17.36</c:v>
                </c:pt>
                <c:pt idx="178">
                  <c:v>33.97</c:v>
                </c:pt>
                <c:pt idx="179">
                  <c:v>60.47</c:v>
                </c:pt>
                <c:pt idx="180">
                  <c:v>17.079999999999998</c:v>
                </c:pt>
                <c:pt idx="181">
                  <c:v>33.44</c:v>
                </c:pt>
                <c:pt idx="182">
                  <c:v>16.14</c:v>
                </c:pt>
                <c:pt idx="183">
                  <c:v>33.65</c:v>
                </c:pt>
                <c:pt idx="184">
                  <c:v>58.100000000000009</c:v>
                </c:pt>
                <c:pt idx="185">
                  <c:v>19.810000000000002</c:v>
                </c:pt>
                <c:pt idx="186">
                  <c:v>52.35</c:v>
                </c:pt>
                <c:pt idx="187">
                  <c:v>23.36</c:v>
                </c:pt>
                <c:pt idx="188">
                  <c:v>4.26</c:v>
                </c:pt>
                <c:pt idx="189">
                  <c:v>61.879999999999995</c:v>
                </c:pt>
                <c:pt idx="190">
                  <c:v>41.640000000000008</c:v>
                </c:pt>
                <c:pt idx="191">
                  <c:v>45.68</c:v>
                </c:pt>
                <c:pt idx="192">
                  <c:v>26.67</c:v>
                </c:pt>
                <c:pt idx="193">
                  <c:v>85.24</c:v>
                </c:pt>
                <c:pt idx="194">
                  <c:v>8.8000000000000007</c:v>
                </c:pt>
                <c:pt idx="195">
                  <c:v>20.82</c:v>
                </c:pt>
                <c:pt idx="196">
                  <c:v>5.19</c:v>
                </c:pt>
                <c:pt idx="197">
                  <c:v>63.080000000000005</c:v>
                </c:pt>
                <c:pt idx="198">
                  <c:v>22.57</c:v>
                </c:pt>
                <c:pt idx="199">
                  <c:v>61.43</c:v>
                </c:pt>
                <c:pt idx="200">
                  <c:v>41</c:v>
                </c:pt>
                <c:pt idx="201">
                  <c:v>47.959999999999994</c:v>
                </c:pt>
                <c:pt idx="202">
                  <c:v>21.21</c:v>
                </c:pt>
                <c:pt idx="203">
                  <c:v>40.739999999999995</c:v>
                </c:pt>
                <c:pt idx="204">
                  <c:v>29.38</c:v>
                </c:pt>
                <c:pt idx="205">
                  <c:v>123.08</c:v>
                </c:pt>
                <c:pt idx="206">
                  <c:v>158.79999999999998</c:v>
                </c:pt>
                <c:pt idx="207">
                  <c:v>33.950000000000003</c:v>
                </c:pt>
                <c:pt idx="208">
                  <c:v>59.46</c:v>
                </c:pt>
                <c:pt idx="209">
                  <c:v>47.76</c:v>
                </c:pt>
                <c:pt idx="210">
                  <c:v>73.260000000000005</c:v>
                </c:pt>
                <c:pt idx="211">
                  <c:v>30.95</c:v>
                </c:pt>
                <c:pt idx="212">
                  <c:v>30.69</c:v>
                </c:pt>
                <c:pt idx="213">
                  <c:v>61.239999999999995</c:v>
                </c:pt>
                <c:pt idx="214">
                  <c:v>116.16</c:v>
                </c:pt>
                <c:pt idx="215">
                  <c:v>24.72</c:v>
                </c:pt>
                <c:pt idx="216">
                  <c:v>108.13000000000001</c:v>
                </c:pt>
                <c:pt idx="217">
                  <c:v>126.89</c:v>
                </c:pt>
                <c:pt idx="218">
                  <c:v>37.58</c:v>
                </c:pt>
                <c:pt idx="219">
                  <c:v>70.73</c:v>
                </c:pt>
                <c:pt idx="220">
                  <c:v>55.25</c:v>
                </c:pt>
                <c:pt idx="221">
                  <c:v>9.9400000000000013</c:v>
                </c:pt>
                <c:pt idx="222">
                  <c:v>61.039999999999992</c:v>
                </c:pt>
                <c:pt idx="223">
                  <c:v>22.16</c:v>
                </c:pt>
                <c:pt idx="224">
                  <c:v>54.569999999999993</c:v>
                </c:pt>
                <c:pt idx="225">
                  <c:v>70.13</c:v>
                </c:pt>
                <c:pt idx="226">
                  <c:v>92.73</c:v>
                </c:pt>
                <c:pt idx="227">
                  <c:v>34.880000000000003</c:v>
                </c:pt>
                <c:pt idx="228">
                  <c:v>85.9</c:v>
                </c:pt>
                <c:pt idx="229">
                  <c:v>12.43</c:v>
                </c:pt>
                <c:pt idx="230">
                  <c:v>51.7</c:v>
                </c:pt>
                <c:pt idx="231">
                  <c:v>97.14</c:v>
                </c:pt>
                <c:pt idx="232">
                  <c:v>101.22</c:v>
                </c:pt>
                <c:pt idx="233">
                  <c:v>33.430000000000007</c:v>
                </c:pt>
                <c:pt idx="234">
                  <c:v>70.489999999999995</c:v>
                </c:pt>
                <c:pt idx="235">
                  <c:v>37.870000000000005</c:v>
                </c:pt>
                <c:pt idx="236">
                  <c:v>11.96</c:v>
                </c:pt>
                <c:pt idx="237">
                  <c:v>49.29</c:v>
                </c:pt>
                <c:pt idx="238">
                  <c:v>47.45</c:v>
                </c:pt>
                <c:pt idx="239">
                  <c:v>123.67</c:v>
                </c:pt>
                <c:pt idx="240">
                  <c:v>21.060000000000002</c:v>
                </c:pt>
                <c:pt idx="241">
                  <c:v>11.89</c:v>
                </c:pt>
                <c:pt idx="242">
                  <c:v>4.12</c:v>
                </c:pt>
                <c:pt idx="243">
                  <c:v>84.58</c:v>
                </c:pt>
                <c:pt idx="244">
                  <c:v>12.22</c:v>
                </c:pt>
                <c:pt idx="245">
                  <c:v>59.36</c:v>
                </c:pt>
                <c:pt idx="246">
                  <c:v>33.6</c:v>
                </c:pt>
                <c:pt idx="247">
                  <c:v>60.890000000000008</c:v>
                </c:pt>
                <c:pt idx="248">
                  <c:v>121.51</c:v>
                </c:pt>
                <c:pt idx="249">
                  <c:v>57.67</c:v>
                </c:pt>
                <c:pt idx="250">
                  <c:v>126.84</c:v>
                </c:pt>
                <c:pt idx="251">
                  <c:v>50.75</c:v>
                </c:pt>
                <c:pt idx="252">
                  <c:v>37.729999999999997</c:v>
                </c:pt>
                <c:pt idx="253">
                  <c:v>140.88999999999999</c:v>
                </c:pt>
                <c:pt idx="254">
                  <c:v>80.47</c:v>
                </c:pt>
                <c:pt idx="255">
                  <c:v>70.960000000000008</c:v>
                </c:pt>
                <c:pt idx="256">
                  <c:v>83.37</c:v>
                </c:pt>
                <c:pt idx="257">
                  <c:v>117.98</c:v>
                </c:pt>
                <c:pt idx="258">
                  <c:v>4.37</c:v>
                </c:pt>
                <c:pt idx="259">
                  <c:v>55.449999999999996</c:v>
                </c:pt>
                <c:pt idx="260">
                  <c:v>71.960000000000008</c:v>
                </c:pt>
                <c:pt idx="261">
                  <c:v>27.740000000000002</c:v>
                </c:pt>
                <c:pt idx="262">
                  <c:v>48.74</c:v>
                </c:pt>
                <c:pt idx="263">
                  <c:v>34.480000000000004</c:v>
                </c:pt>
                <c:pt idx="264">
                  <c:v>27.89</c:v>
                </c:pt>
                <c:pt idx="265">
                  <c:v>5.19</c:v>
                </c:pt>
                <c:pt idx="266">
                  <c:v>11.09</c:v>
                </c:pt>
                <c:pt idx="267">
                  <c:v>47.22</c:v>
                </c:pt>
                <c:pt idx="268">
                  <c:v>70.48</c:v>
                </c:pt>
                <c:pt idx="269">
                  <c:v>5.6</c:v>
                </c:pt>
                <c:pt idx="270">
                  <c:v>71.95</c:v>
                </c:pt>
                <c:pt idx="271">
                  <c:v>143.59</c:v>
                </c:pt>
                <c:pt idx="272">
                  <c:v>15.41</c:v>
                </c:pt>
                <c:pt idx="273">
                  <c:v>40.15</c:v>
                </c:pt>
                <c:pt idx="274">
                  <c:v>88.53</c:v>
                </c:pt>
                <c:pt idx="275">
                  <c:v>121.16999999999999</c:v>
                </c:pt>
                <c:pt idx="276">
                  <c:v>69.789999999999992</c:v>
                </c:pt>
                <c:pt idx="277">
                  <c:v>125.53</c:v>
                </c:pt>
                <c:pt idx="278">
                  <c:v>69.42</c:v>
                </c:pt>
                <c:pt idx="279">
                  <c:v>190.97</c:v>
                </c:pt>
                <c:pt idx="280">
                  <c:v>59.379999999999995</c:v>
                </c:pt>
                <c:pt idx="281">
                  <c:v>57.31</c:v>
                </c:pt>
                <c:pt idx="282">
                  <c:v>97.41</c:v>
                </c:pt>
                <c:pt idx="283">
                  <c:v>41.12</c:v>
                </c:pt>
                <c:pt idx="284">
                  <c:v>28.03</c:v>
                </c:pt>
                <c:pt idx="285">
                  <c:v>36.299999999999997</c:v>
                </c:pt>
                <c:pt idx="286">
                  <c:v>48.06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3D-49CF-8C5D-A97410986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513488"/>
        <c:axId val="1212513968"/>
      </c:scatterChart>
      <c:valAx>
        <c:axId val="121251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13968"/>
        <c:crosses val="autoZero"/>
        <c:crossBetween val="midCat"/>
      </c:valAx>
      <c:valAx>
        <c:axId val="121251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1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[RFM analysis.xlsx]Pivot table!PivotTable2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782608695652174E-2"/>
          <c:y val="9.4420600858369105E-2"/>
          <c:w val="0.94534161490683233"/>
          <c:h val="0.706452637626305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table'!$A$4:$A$9</c:f>
              <c:strCache>
                <c:ptCount val="5"/>
                <c:pt idx="0">
                  <c:v>At Risk</c:v>
                </c:pt>
                <c:pt idx="1">
                  <c:v>Best Customers</c:v>
                </c:pt>
                <c:pt idx="2">
                  <c:v>Loyal Customers</c:v>
                </c:pt>
                <c:pt idx="3">
                  <c:v>Need Attention</c:v>
                </c:pt>
                <c:pt idx="4">
                  <c:v>Potential Customers</c:v>
                </c:pt>
              </c:strCache>
            </c:strRef>
          </c:cat>
          <c:val>
            <c:numRef>
              <c:f>'Pivot table'!$B$4:$B$9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75</c:v>
                </c:pt>
                <c:pt idx="3">
                  <c:v>66</c:v>
                </c:pt>
                <c:pt idx="4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E-46DE-9C25-AD22555C7D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6370976"/>
        <c:axId val="716397856"/>
      </c:barChart>
      <c:catAx>
        <c:axId val="7163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397856"/>
        <c:crosses val="autoZero"/>
        <c:auto val="1"/>
        <c:lblAlgn val="ctr"/>
        <c:lblOffset val="100"/>
        <c:noMultiLvlLbl val="0"/>
      </c:catAx>
      <c:valAx>
        <c:axId val="7163978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1637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317500</xdr:colOff>
      <xdr:row>0</xdr:row>
      <xdr:rowOff>146050</xdr:rowOff>
    </xdr:from>
    <xdr:to>
      <xdr:col>15</xdr:col>
      <xdr:colOff>266700</xdr:colOff>
      <xdr:row>19</xdr:row>
      <xdr:rowOff>25400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CC3C047-7645-4471-61AF-D5BE8FD630DF}"/>
            </a:ext>
          </a:extLst>
        </xdr:cNvPr>
        <xdr:cNvSpPr/>
      </xdr:nvSpPr>
      <xdr:spPr>
        <a:xfrm>
          <a:off x="1536700" y="146050"/>
          <a:ext cx="7874000" cy="337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  <a:latin typeface="Bahnschrift Light" panose="020B0502040204020203" pitchFamily="34" charset="0"/>
            </a:rPr>
            <a:t>Customer's</a:t>
          </a:r>
          <a:r>
            <a:rPr lang="en-US" sz="1400" baseline="0">
              <a:solidFill>
                <a:schemeClr val="tx1"/>
              </a:solidFill>
              <a:latin typeface="Bahnschrift Light" panose="020B0502040204020203" pitchFamily="34" charset="0"/>
            </a:rPr>
            <a:t> RFM </a:t>
          </a:r>
          <a:r>
            <a:rPr lang="en-US" sz="1400" b="1" baseline="0">
              <a:solidFill>
                <a:schemeClr val="accent2">
                  <a:lumMod val="75000"/>
                </a:schemeClr>
              </a:solidFill>
              <a:latin typeface="Bahnschrift Light" panose="020B0502040204020203" pitchFamily="34" charset="0"/>
            </a:rPr>
            <a:t>Analysis</a:t>
          </a:r>
          <a:endParaRPr lang="en-US" sz="1400" b="1">
            <a:solidFill>
              <a:schemeClr val="accent2">
                <a:lumMod val="75000"/>
              </a:schemeClr>
            </a:solidFill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2</xdr:col>
      <xdr:colOff>463550</xdr:colOff>
      <xdr:row>2</xdr:row>
      <xdr:rowOff>82550</xdr:rowOff>
    </xdr:from>
    <xdr:to>
      <xdr:col>4</xdr:col>
      <xdr:colOff>222250</xdr:colOff>
      <xdr:row>5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73E4CB6-0E53-C2C8-46AA-4EA92FE1B587}"/>
            </a:ext>
          </a:extLst>
        </xdr:cNvPr>
        <xdr:cNvSpPr/>
      </xdr:nvSpPr>
      <xdr:spPr>
        <a:xfrm>
          <a:off x="1682750" y="450850"/>
          <a:ext cx="977900" cy="5270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     Customers Customers</a:t>
          </a:r>
        </a:p>
      </xdr:txBody>
    </xdr:sp>
    <xdr:clientData/>
  </xdr:twoCellAnchor>
  <xdr:twoCellAnchor>
    <xdr:from>
      <xdr:col>4</xdr:col>
      <xdr:colOff>361950</xdr:colOff>
      <xdr:row>2</xdr:row>
      <xdr:rowOff>69850</xdr:rowOff>
    </xdr:from>
    <xdr:to>
      <xdr:col>6</xdr:col>
      <xdr:colOff>120650</xdr:colOff>
      <xdr:row>5</xdr:row>
      <xdr:rowOff>44450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D0ECF5C-224D-463D-9657-389608837B8D}"/>
            </a:ext>
          </a:extLst>
        </xdr:cNvPr>
        <xdr:cNvSpPr/>
      </xdr:nvSpPr>
      <xdr:spPr>
        <a:xfrm>
          <a:off x="2800350" y="438150"/>
          <a:ext cx="977900" cy="5270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+mn-lt"/>
            </a:rPr>
            <a:t>Avg RFM Score</a:t>
          </a:r>
        </a:p>
      </xdr:txBody>
    </xdr:sp>
    <xdr:clientData/>
  </xdr:twoCellAnchor>
  <xdr:twoCellAnchor>
    <xdr:from>
      <xdr:col>2</xdr:col>
      <xdr:colOff>463550</xdr:colOff>
      <xdr:row>5</xdr:row>
      <xdr:rowOff>171450</xdr:rowOff>
    </xdr:from>
    <xdr:to>
      <xdr:col>4</xdr:col>
      <xdr:colOff>222250</xdr:colOff>
      <xdr:row>8</xdr:row>
      <xdr:rowOff>146050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5D85EEB-2B34-45BC-AFFF-BAA9E234CE47}"/>
            </a:ext>
          </a:extLst>
        </xdr:cNvPr>
        <xdr:cNvSpPr/>
      </xdr:nvSpPr>
      <xdr:spPr>
        <a:xfrm>
          <a:off x="1682750" y="1092200"/>
          <a:ext cx="977900" cy="5270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ysClr val="windowText" lastClr="000000"/>
              </a:solidFill>
            </a:rPr>
            <a:t>Total Revenue</a:t>
          </a:r>
        </a:p>
      </xdr:txBody>
    </xdr:sp>
    <xdr:clientData/>
  </xdr:twoCellAnchor>
  <xdr:twoCellAnchor>
    <xdr:from>
      <xdr:col>4</xdr:col>
      <xdr:colOff>374650</xdr:colOff>
      <xdr:row>5</xdr:row>
      <xdr:rowOff>171450</xdr:rowOff>
    </xdr:from>
    <xdr:to>
      <xdr:col>6</xdr:col>
      <xdr:colOff>133350</xdr:colOff>
      <xdr:row>8</xdr:row>
      <xdr:rowOff>146050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83AF784-76D9-4E7D-A31D-DE091DBA8499}"/>
            </a:ext>
          </a:extLst>
        </xdr:cNvPr>
        <xdr:cNvSpPr/>
      </xdr:nvSpPr>
      <xdr:spPr>
        <a:xfrm>
          <a:off x="2813050" y="1092200"/>
          <a:ext cx="977900" cy="52705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ysClr val="windowText" lastClr="000000"/>
              </a:solidFill>
            </a:rPr>
            <a:t>Avg. Order  Freq.</a:t>
          </a:r>
        </a:p>
      </xdr:txBody>
    </xdr:sp>
    <xdr:clientData/>
  </xdr:twoCellAnchor>
  <xdr:twoCellAnchor>
    <xdr:from>
      <xdr:col>2</xdr:col>
      <xdr:colOff>533400</xdr:colOff>
      <xdr:row>3</xdr:row>
      <xdr:rowOff>107950</xdr:rowOff>
    </xdr:from>
    <xdr:to>
      <xdr:col>4</xdr:col>
      <xdr:colOff>139700</xdr:colOff>
      <xdr:row>5</xdr:row>
      <xdr:rowOff>31750</xdr:rowOff>
    </xdr:to>
    <xdr:sp macro="" textlink="'Pivot table'!$A$12">
      <xdr:nvSpPr>
        <xdr:cNvPr id="8" name="TextBox 7">
          <a:extLst>
            <a:ext uri="{FF2B5EF4-FFF2-40B4-BE49-F238E27FC236}">
              <a16:creationId xmlns:a16="http://schemas.microsoft.com/office/drawing/2014/main" id="{7345DF04-5BAE-3C89-E324-62F2E9B0C1B3}"/>
            </a:ext>
          </a:extLst>
        </xdr:cNvPr>
        <xdr:cNvSpPr txBox="1"/>
      </xdr:nvSpPr>
      <xdr:spPr>
        <a:xfrm>
          <a:off x="1752600" y="660400"/>
          <a:ext cx="825500" cy="29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tx1"/>
              </a:solidFill>
              <a:latin typeface="Berlin Sans FB" panose="020E0602020502020306" pitchFamily="34" charset="0"/>
              <a:ea typeface="Calibri"/>
              <a:cs typeface="Calibri"/>
            </a:rPr>
            <a:t>     </a:t>
          </a:r>
          <a:fld id="{75C9C233-3B18-4D76-8D4E-E21A85D65304}" type="TxLink">
            <a:rPr lang="en-US" sz="1400" b="0" i="0" u="none" strike="noStrike">
              <a:solidFill>
                <a:schemeClr val="tx1"/>
              </a:solidFill>
              <a:latin typeface="Berlin Sans FB" panose="020E0602020502020306" pitchFamily="34" charset="0"/>
              <a:ea typeface="Calibri"/>
              <a:cs typeface="Calibri"/>
            </a:rPr>
            <a:t>287</a:t>
          </a:fld>
          <a:endParaRPr lang="en-US" sz="1400">
            <a:solidFill>
              <a:schemeClr val="tx1"/>
            </a:solidFill>
            <a:latin typeface="Berlin Sans FB" panose="020E0602020502020306" pitchFamily="34" charset="0"/>
          </a:endParaRPr>
        </a:p>
      </xdr:txBody>
    </xdr:sp>
    <xdr:clientData/>
  </xdr:twoCellAnchor>
  <xdr:twoCellAnchor>
    <xdr:from>
      <xdr:col>2</xdr:col>
      <xdr:colOff>546100</xdr:colOff>
      <xdr:row>6</xdr:row>
      <xdr:rowOff>177800</xdr:rowOff>
    </xdr:from>
    <xdr:to>
      <xdr:col>4</xdr:col>
      <xdr:colOff>152400</xdr:colOff>
      <xdr:row>8</xdr:row>
      <xdr:rowOff>101600</xdr:rowOff>
    </xdr:to>
    <xdr:sp macro="" textlink="'Pivot table'!$C$12">
      <xdr:nvSpPr>
        <xdr:cNvPr id="9" name="TextBox 8">
          <a:extLst>
            <a:ext uri="{FF2B5EF4-FFF2-40B4-BE49-F238E27FC236}">
              <a16:creationId xmlns:a16="http://schemas.microsoft.com/office/drawing/2014/main" id="{FE8A3B94-D3F8-4A38-947D-44EF191A21F5}"/>
            </a:ext>
          </a:extLst>
        </xdr:cNvPr>
        <xdr:cNvSpPr txBox="1"/>
      </xdr:nvSpPr>
      <xdr:spPr>
        <a:xfrm>
          <a:off x="1765300" y="1282700"/>
          <a:ext cx="825500" cy="29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E1484EC-7786-4D87-A977-3E6ECB6F1358}" type="TxLink">
            <a:rPr lang="en-US" sz="1400" b="0" i="0" u="none" strike="noStrike">
              <a:solidFill>
                <a:srgbClr val="000000"/>
              </a:solidFill>
              <a:latin typeface="Berlin Sans FB" panose="020E0602020502020306" pitchFamily="34" charset="0"/>
              <a:ea typeface="Calibri"/>
              <a:cs typeface="Calibri"/>
            </a:rPr>
            <a:t>17209.44</a:t>
          </a:fld>
          <a:endParaRPr lang="en-US" sz="1400">
            <a:solidFill>
              <a:schemeClr val="tx1"/>
            </a:solidFill>
            <a:latin typeface="Berlin Sans FB" panose="020E0602020502020306" pitchFamily="34" charset="0"/>
          </a:endParaRPr>
        </a:p>
      </xdr:txBody>
    </xdr:sp>
    <xdr:clientData/>
  </xdr:twoCellAnchor>
  <xdr:twoCellAnchor>
    <xdr:from>
      <xdr:col>4</xdr:col>
      <xdr:colOff>425450</xdr:colOff>
      <xdr:row>3</xdr:row>
      <xdr:rowOff>107950</xdr:rowOff>
    </xdr:from>
    <xdr:to>
      <xdr:col>6</xdr:col>
      <xdr:colOff>31750</xdr:colOff>
      <xdr:row>5</xdr:row>
      <xdr:rowOff>31750</xdr:rowOff>
    </xdr:to>
    <xdr:sp macro="" textlink="'Pivot table'!$B$12">
      <xdr:nvSpPr>
        <xdr:cNvPr id="10" name="TextBox 9">
          <a:extLst>
            <a:ext uri="{FF2B5EF4-FFF2-40B4-BE49-F238E27FC236}">
              <a16:creationId xmlns:a16="http://schemas.microsoft.com/office/drawing/2014/main" id="{B5082DF2-9A70-4D90-BC1E-13264786EE67}"/>
            </a:ext>
          </a:extLst>
        </xdr:cNvPr>
        <xdr:cNvSpPr txBox="1"/>
      </xdr:nvSpPr>
      <xdr:spPr>
        <a:xfrm>
          <a:off x="2863850" y="660400"/>
          <a:ext cx="825500" cy="29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0" i="0" u="none" strike="noStrike">
              <a:solidFill>
                <a:srgbClr val="000000"/>
              </a:solidFill>
              <a:latin typeface="Berlin Sans FB" panose="020E0602020502020306" pitchFamily="34" charset="0"/>
              <a:ea typeface="Calibri"/>
              <a:cs typeface="Calibri"/>
            </a:rPr>
            <a:t> </a:t>
          </a:r>
          <a:fld id="{88726778-F839-4CBF-9257-540B3779A74F}" type="TxLink">
            <a:rPr lang="en-US" sz="1400" b="0" i="0" u="none" strike="noStrike">
              <a:solidFill>
                <a:srgbClr val="000000"/>
              </a:solidFill>
              <a:latin typeface="Berlin Sans FB" panose="020E0602020502020306" pitchFamily="34" charset="0"/>
              <a:ea typeface="Calibri"/>
              <a:cs typeface="Calibri"/>
            </a:rPr>
            <a:pPr algn="ctr"/>
            <a:t>8.1</a:t>
          </a:fld>
          <a:endParaRPr lang="en-US" sz="1400">
            <a:solidFill>
              <a:schemeClr val="tx1"/>
            </a:solidFill>
            <a:latin typeface="Berlin Sans FB" panose="020E0602020502020306" pitchFamily="34" charset="0"/>
          </a:endParaRPr>
        </a:p>
      </xdr:txBody>
    </xdr:sp>
    <xdr:clientData/>
  </xdr:twoCellAnchor>
  <xdr:twoCellAnchor>
    <xdr:from>
      <xdr:col>4</xdr:col>
      <xdr:colOff>438150</xdr:colOff>
      <xdr:row>6</xdr:row>
      <xdr:rowOff>177800</xdr:rowOff>
    </xdr:from>
    <xdr:to>
      <xdr:col>6</xdr:col>
      <xdr:colOff>44450</xdr:colOff>
      <xdr:row>8</xdr:row>
      <xdr:rowOff>101600</xdr:rowOff>
    </xdr:to>
    <xdr:sp macro="" textlink="'Pivot table'!$D$12">
      <xdr:nvSpPr>
        <xdr:cNvPr id="11" name="TextBox 10">
          <a:extLst>
            <a:ext uri="{FF2B5EF4-FFF2-40B4-BE49-F238E27FC236}">
              <a16:creationId xmlns:a16="http://schemas.microsoft.com/office/drawing/2014/main" id="{3F09E0BC-D23B-453B-AC97-E13D0D023282}"/>
            </a:ext>
          </a:extLst>
        </xdr:cNvPr>
        <xdr:cNvSpPr txBox="1"/>
      </xdr:nvSpPr>
      <xdr:spPr>
        <a:xfrm>
          <a:off x="2876550" y="1282700"/>
          <a:ext cx="825500" cy="29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515271D-A91A-4E9B-B6F5-476EBAEA1830}" type="TxLink">
            <a:rPr lang="en-US" sz="1400" b="0" i="0" u="none" strike="noStrike">
              <a:solidFill>
                <a:srgbClr val="000000"/>
              </a:solidFill>
              <a:latin typeface="Berlin Sans FB" panose="020E0602020502020306" pitchFamily="34" charset="0"/>
              <a:ea typeface="Calibri"/>
              <a:cs typeface="Calibri"/>
            </a:rPr>
            <a:pPr algn="ctr"/>
            <a:t>3.5</a:t>
          </a:fld>
          <a:endParaRPr lang="en-US" sz="1400">
            <a:solidFill>
              <a:schemeClr val="tx1"/>
            </a:solidFill>
            <a:latin typeface="Berlin Sans FB" panose="020E0602020502020306" pitchFamily="34" charset="0"/>
          </a:endParaRPr>
        </a:p>
      </xdr:txBody>
    </xdr:sp>
    <xdr:clientData/>
  </xdr:twoCellAnchor>
  <xdr:twoCellAnchor>
    <xdr:from>
      <xdr:col>2</xdr:col>
      <xdr:colOff>450850</xdr:colOff>
      <xdr:row>9</xdr:row>
      <xdr:rowOff>69850</xdr:rowOff>
    </xdr:from>
    <xdr:to>
      <xdr:col>9</xdr:col>
      <xdr:colOff>317500</xdr:colOff>
      <xdr:row>18</xdr:row>
      <xdr:rowOff>146050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8C721A0-BF11-4C76-921C-00078FD1E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387350</xdr:colOff>
      <xdr:row>9</xdr:row>
      <xdr:rowOff>69850</xdr:rowOff>
    </xdr:from>
    <xdr:to>
      <xdr:col>15</xdr:col>
      <xdr:colOff>177800</xdr:colOff>
      <xdr:row>18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1BFFCA4-D1DE-4198-94DE-6F0D5A7CB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552450</xdr:colOff>
      <xdr:row>10</xdr:row>
      <xdr:rowOff>146050</xdr:rowOff>
    </xdr:from>
    <xdr:to>
      <xdr:col>15</xdr:col>
      <xdr:colOff>215900</xdr:colOff>
      <xdr:row>16</xdr:row>
      <xdr:rowOff>69850</xdr:rowOff>
    </xdr:to>
    <xdr:sp macro="" textlink="$Q$10">
      <xdr:nvSpPr>
        <xdr:cNvPr id="14" name="TextBox 13">
          <a:extLst>
            <a:ext uri="{FF2B5EF4-FFF2-40B4-BE49-F238E27FC236}">
              <a16:creationId xmlns:a16="http://schemas.microsoft.com/office/drawing/2014/main" id="{5687D125-1214-DB4C-9067-99B3C92FC0E3}"/>
            </a:ext>
          </a:extLst>
        </xdr:cNvPr>
        <xdr:cNvSpPr txBox="1"/>
      </xdr:nvSpPr>
      <xdr:spPr>
        <a:xfrm>
          <a:off x="7867650" y="1987550"/>
          <a:ext cx="1492250" cy="1028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r= -0.37</a:t>
          </a:r>
        </a:p>
        <a:p>
          <a:pPr algn="ctr"/>
          <a:r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The strength of</a:t>
          </a:r>
          <a:r>
            <a: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the correlation between Monetary and Recency is weak correlation given by the value above</a:t>
          </a:r>
          <a:endParaRPr lang="en-US" sz="10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/>
          <a:endParaRPr lang="en-US" sz="1000"/>
        </a:p>
      </xdr:txBody>
    </xdr:sp>
    <xdr:clientData/>
  </xdr:twoCellAnchor>
  <xdr:twoCellAnchor>
    <xdr:from>
      <xdr:col>6</xdr:col>
      <xdr:colOff>285750</xdr:colOff>
      <xdr:row>1</xdr:row>
      <xdr:rowOff>25400</xdr:rowOff>
    </xdr:from>
    <xdr:to>
      <xdr:col>15</xdr:col>
      <xdr:colOff>177800</xdr:colOff>
      <xdr:row>9</xdr:row>
      <xdr:rowOff>19050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0B60990-6CC5-48DF-A812-21F520003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279400</xdr:colOff>
      <xdr:row>1</xdr:row>
      <xdr:rowOff>88900</xdr:rowOff>
    </xdr:from>
    <xdr:to>
      <xdr:col>15</xdr:col>
      <xdr:colOff>44450</xdr:colOff>
      <xdr:row>7</xdr:row>
      <xdr:rowOff>114300</xdr:rowOff>
    </xdr:to>
    <xdr:sp macro="" textlink="'RFM Analysis Table'!S7">
      <xdr:nvSpPr>
        <xdr:cNvPr id="17" name="TextBox 16">
          <a:extLst>
            <a:ext uri="{FF2B5EF4-FFF2-40B4-BE49-F238E27FC236}">
              <a16:creationId xmlns:a16="http://schemas.microsoft.com/office/drawing/2014/main" id="{99E6E361-CDAE-BA81-B460-596017E322F4}"/>
            </a:ext>
          </a:extLst>
        </xdr:cNvPr>
        <xdr:cNvSpPr txBox="1"/>
      </xdr:nvSpPr>
      <xdr:spPr>
        <a:xfrm>
          <a:off x="7594600" y="273050"/>
          <a:ext cx="1593850" cy="1130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r= </a:t>
          </a:r>
          <a:fld id="{C3DF7802-6231-4C85-B447-7116AF1FD724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0.82</a:t>
          </a:fld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means as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the customers keeps re-ordering, it keeps increasing their monetary value</a:t>
          </a: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492125</xdr:colOff>
      <xdr:row>272</xdr:row>
      <xdr:rowOff>82550</xdr:rowOff>
    </xdr:from>
    <xdr:to>
      <xdr:col>16</xdr:col>
      <xdr:colOff>739775</xdr:colOff>
      <xdr:row>287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47F236-A382-8EF7-F9BF-07317F7FD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82550</xdr:rowOff>
    </xdr:from>
    <xdr:to>
      <xdr:col>10</xdr:col>
      <xdr:colOff>463550</xdr:colOff>
      <xdr:row>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091BA6-79EC-9E14-64FE-BBAA2B4F1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0.387776620373" createdVersion="8" refreshedVersion="8" minRefreshableVersion="3" recordCount="1000" xr:uid="{05DAE283-82E9-48FB-9F3B-6DCEA5ACB948}">
  <cacheSource type="worksheet">
    <worksheetSource ref="A1:E1001" sheet="RFM Analysis Table"/>
  </cacheSource>
  <cacheFields count="5">
    <cacheField name="OrderID" numFmtId="0">
      <sharedItems/>
    </cacheField>
    <cacheField name="CustomerID" numFmtId="0">
      <sharedItems count="287">
        <s v="CUST0259"/>
        <s v="CUST0161"/>
        <s v="CUST0178"/>
        <s v="CUST0010"/>
        <s v="CUST0261"/>
        <s v="CUST0138"/>
        <s v="CUST0172"/>
        <s v="CUST0013"/>
        <s v="CUST0168"/>
        <s v="CUST0130"/>
        <s v="CUST0084"/>
        <s v="CUST0101"/>
        <s v="CUST0273"/>
        <s v="CUST0265"/>
        <s v="CUST0038"/>
        <s v="CUST0094"/>
        <s v="CUST0095"/>
        <s v="CUST0069"/>
        <s v="CUST0236"/>
        <s v="CUST0137"/>
        <s v="CUST0076"/>
        <s v="CUST0035"/>
        <s v="CUST0001"/>
        <s v="CUST0296"/>
        <s v="CUST0060"/>
        <s v="CUST0267"/>
        <s v="CUST0229"/>
        <s v="CUST0270"/>
        <s v="CUST0286"/>
        <s v="CUST0291"/>
        <s v="CUST0213"/>
        <s v="CUST0165"/>
        <s v="CUST0005"/>
        <s v="CUST0078"/>
        <s v="CUST0062"/>
        <s v="CUST0132"/>
        <s v="CUST0089"/>
        <s v="CUST0237"/>
        <s v="CUST0042"/>
        <s v="CUST0295"/>
        <s v="CUST0104"/>
        <s v="CUST0014"/>
        <s v="CUST0288"/>
        <s v="CUST0179"/>
        <s v="CUST0125"/>
        <s v="CUST0023"/>
        <s v="CUST0063"/>
        <s v="CUST0143"/>
        <s v="CUST0153"/>
        <s v="CUST0145"/>
        <s v="CUST0225"/>
        <s v="CUST0039"/>
        <s v="CUST0198"/>
        <s v="CUST0134"/>
        <s v="CUST0067"/>
        <s v="CUST0015"/>
        <s v="CUST0111"/>
        <s v="CUST0157"/>
        <s v="CUST0289"/>
        <s v="CUST0231"/>
        <s v="CUST0097"/>
        <s v="CUST0254"/>
        <s v="CUST0196"/>
        <s v="CUST0086"/>
        <s v="CUST0123"/>
        <s v="CUST0118"/>
        <s v="CUST0294"/>
        <s v="CUST0159"/>
        <s v="CUST0228"/>
        <s v="CUST0216"/>
        <s v="CUST0184"/>
        <s v="CUST0136"/>
        <s v="CUST0047"/>
        <s v="CUST0173"/>
        <s v="CUST0115"/>
        <s v="CUST0243"/>
        <s v="CUST0292"/>
        <s v="CUST0282"/>
        <s v="CUST0299"/>
        <s v="CUST0283"/>
        <s v="CUST0148"/>
        <s v="CUST0011"/>
        <s v="CUST0200"/>
        <s v="CUST0218"/>
        <s v="CUST0141"/>
        <s v="CUST0210"/>
        <s v="CUST0171"/>
        <s v="CUST0133"/>
        <s v="CUST0293"/>
        <s v="CUST0127"/>
        <s v="CUST0106"/>
        <s v="CUST0092"/>
        <s v="CUST0287"/>
        <s v="CUST0051"/>
        <s v="CUST0029"/>
        <s v="CUST0297"/>
        <s v="CUST0214"/>
        <s v="CUST0257"/>
        <s v="CUST0110"/>
        <s v="CUST0182"/>
        <s v="CUST0055"/>
        <s v="CUST0149"/>
        <s v="CUST0202"/>
        <s v="CUST0117"/>
        <s v="CUST0154"/>
        <s v="CUST0244"/>
        <s v="CUST0025"/>
        <s v="CUST0090"/>
        <s v="CUST0075"/>
        <s v="CUST0017"/>
        <s v="CUST0128"/>
        <s v="CUST0251"/>
        <s v="CUST0152"/>
        <s v="CUST0180"/>
        <s v="CUST0177"/>
        <s v="CUST0285"/>
        <s v="CUST0150"/>
        <s v="CUST0156"/>
        <s v="CUST0049"/>
        <s v="CUST0189"/>
        <s v="CUST0224"/>
        <s v="CUST0215"/>
        <s v="CUST0211"/>
        <s v="CUST0032"/>
        <s v="CUST0158"/>
        <s v="CUST0144"/>
        <s v="CUST0019"/>
        <s v="CUST0018"/>
        <s v="CUST0175"/>
        <s v="CUST0194"/>
        <s v="CUST0113"/>
        <s v="CUST0114"/>
        <s v="CUST0222"/>
        <s v="CUST0166"/>
        <s v="CUST0264"/>
        <s v="CUST0131"/>
        <s v="CUST0266"/>
        <s v="CUST0162"/>
        <s v="CUST0087"/>
        <s v="CUST0008"/>
        <s v="CUST0247"/>
        <s v="CUST0255"/>
        <s v="CUST0054"/>
        <s v="CUST0249"/>
        <s v="CUST0239"/>
        <s v="CUST0096"/>
        <s v="CUST0088"/>
        <s v="CUST0120"/>
        <s v="CUST0223"/>
        <s v="CUST0007"/>
        <s v="CUST0263"/>
        <s v="CUST0151"/>
        <s v="CUST0085"/>
        <s v="CUST0147"/>
        <s v="CUST0112"/>
        <s v="CUST0036"/>
        <s v="CUST0188"/>
        <s v="CUST0082"/>
        <s v="CUST0002"/>
        <s v="CUST0197"/>
        <s v="CUST0234"/>
        <s v="CUST0195"/>
        <s v="CUST0119"/>
        <s v="CUST0020"/>
        <s v="CUST0256"/>
        <s v="CUST0226"/>
        <s v="CUST0053"/>
        <s v="CUST0280"/>
        <s v="CUST0081"/>
        <s v="CUST0059"/>
        <s v="CUST0209"/>
        <s v="CUST0009"/>
        <s v="CUST0040"/>
        <s v="CUST0281"/>
        <s v="CUST0201"/>
        <s v="CUST0246"/>
        <s v="CUST0278"/>
        <s v="CUST0235"/>
        <s v="CUST0004"/>
        <s v="CUST0109"/>
        <s v="CUST0098"/>
        <s v="CUST0146"/>
        <s v="CUST0041"/>
        <s v="CUST0034"/>
        <s v="CUST0027"/>
        <s v="CUST0219"/>
        <s v="CUST0268"/>
        <s v="CUST0190"/>
        <s v="CUST0122"/>
        <s v="CUST0046"/>
        <s v="CUST0064"/>
        <s v="CUST0193"/>
        <s v="CUST0181"/>
        <s v="CUST0164"/>
        <s v="CUST0187"/>
        <s v="CUST0232"/>
        <s v="CUST0227"/>
        <s v="CUST0250"/>
        <s v="CUST0073"/>
        <s v="CUST0129"/>
        <s v="CUST0217"/>
        <s v="CUST0061"/>
        <s v="CUST0108"/>
        <s v="CUST0102"/>
        <s v="CUST0012"/>
        <s v="CUST0275"/>
        <s v="CUST0044"/>
        <s v="CUST0057"/>
        <s v="CUST0080"/>
        <s v="CUST0026"/>
        <s v="CUST0016"/>
        <s v="CUST0199"/>
        <s v="CUST0176"/>
        <s v="CUST0103"/>
        <s v="CUST0183"/>
        <s v="CUST0170"/>
        <s v="CUST0269"/>
        <s v="CUST0274"/>
        <s v="CUST0245"/>
        <s v="CUST0185"/>
        <s v="CUST0272"/>
        <s v="CUST0065"/>
        <s v="CUST0003"/>
        <s v="CUST0142"/>
        <s v="CUST0140"/>
        <s v="CUST0052"/>
        <s v="CUST0260"/>
        <s v="CUST0072"/>
        <s v="CUST0107"/>
        <s v="CUST0241"/>
        <s v="CUST0262"/>
        <s v="CUST0099"/>
        <s v="CUST0160"/>
        <s v="CUST0068"/>
        <s v="CUST0105"/>
        <s v="CUST0124"/>
        <s v="CUST0037"/>
        <s v="CUST0284"/>
        <s v="CUST0186"/>
        <s v="CUST0056"/>
        <s v="CUST0169"/>
        <s v="CUST0045"/>
        <s v="CUST0191"/>
        <s v="CUST0155"/>
        <s v="CUST0031"/>
        <s v="CUST0258"/>
        <s v="CUST0206"/>
        <s v="CUST0077"/>
        <s v="CUST0233"/>
        <s v="CUST0163"/>
        <s v="CUST0074"/>
        <s v="CUST0242"/>
        <s v="CUST0192"/>
        <s v="CUST0022"/>
        <s v="CUST0204"/>
        <s v="CUST0033"/>
        <s v="CUST0079"/>
        <s v="CUST0058"/>
        <s v="CUST0271"/>
        <s v="CUST0021"/>
        <s v="CUST0208"/>
        <s v="CUST0093"/>
        <s v="CUST0174"/>
        <s v="CUST0050"/>
        <s v="CUST0024"/>
        <s v="CUST0205"/>
        <s v="CUST0277"/>
        <s v="CUST0116"/>
        <s v="CUST0238"/>
        <s v="CUST0221"/>
        <s v="CUST0300"/>
        <s v="CUST0207"/>
        <s v="CUST0220"/>
        <s v="CUST0066"/>
        <s v="CUST0100"/>
        <s v="CUST0240"/>
        <s v="CUST0298"/>
        <s v="CUST0028"/>
        <s v="CUST0276"/>
        <s v="CUST0121"/>
        <s v="CUST0126"/>
        <s v="CUST0290"/>
        <s v="CUST0279"/>
        <s v="CUST0043"/>
        <s v="CUST0203"/>
        <s v="CUST0071"/>
        <s v="CUST0167"/>
      </sharedItems>
    </cacheField>
    <cacheField name="OrderDate" numFmtId="14">
      <sharedItems containsSemiMixedTypes="0" containsNonDate="0" containsDate="1" containsString="0" minDate="2024-10-31T08:13:56" maxDate="2025-10-30T08:13:56"/>
    </cacheField>
    <cacheField name="ProductType" numFmtId="0">
      <sharedItems/>
    </cacheField>
    <cacheField name="OrderValue" numFmtId="0">
      <sharedItems containsSemiMixedTypes="0" containsString="0" containsNumber="1" minValue="4.01" maxValue="48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0.426960069446" createdVersion="8" refreshedVersion="8" minRefreshableVersion="3" recordCount="287" xr:uid="{0EDD68AF-B958-4EEB-9B6F-1631964D2D52}">
  <cacheSource type="worksheet">
    <worksheetSource ref="I2:Q289" sheet="RFM Analysis Table"/>
  </cacheSource>
  <cacheFields count="9">
    <cacheField name="Customer ID" numFmtId="0">
      <sharedItems/>
    </cacheField>
    <cacheField name="Recency(Days)" numFmtId="1">
      <sharedItems containsSemiMixedTypes="0" containsString="0" containsNumber="1" minValue="69.656990740739275" maxValue="429.65699074073927"/>
    </cacheField>
    <cacheField name="Frequency(N)" numFmtId="0">
      <sharedItems containsSemiMixedTypes="0" containsString="0" containsNumber="1" containsInteger="1" minValue="1" maxValue="12"/>
    </cacheField>
    <cacheField name="Monetary($)" numFmtId="0">
      <sharedItems containsSemiMixedTypes="0" containsString="0" containsNumber="1" minValue="4.12" maxValue="190.97"/>
    </cacheField>
    <cacheField name="Recency Score" numFmtId="0">
      <sharedItems containsSemiMixedTypes="0" containsString="0" containsNumber="1" containsInteger="1" minValue="1" maxValue="5"/>
    </cacheField>
    <cacheField name="Frequency Score" numFmtId="0">
      <sharedItems containsSemiMixedTypes="0" containsString="0" containsNumber="1" containsInteger="1" minValue="1" maxValue="5"/>
    </cacheField>
    <cacheField name="Monetary score" numFmtId="0">
      <sharedItems containsSemiMixedTypes="0" containsString="0" containsNumber="1" containsInteger="1" minValue="1" maxValue="5"/>
    </cacheField>
    <cacheField name="RFM Score" numFmtId="0">
      <sharedItems containsSemiMixedTypes="0" containsString="0" containsNumber="1" containsInteger="1" minValue="3" maxValue="15"/>
    </cacheField>
    <cacheField name="RFM Classification" numFmtId="0">
      <sharedItems count="6">
        <s v="Loyal Customers"/>
        <s v="Potential Customers"/>
        <s v="Best Customers"/>
        <s v="Need Attention"/>
        <s v="At Risk"/>
        <e v="#N/A" u="1"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30.49046064815" createdVersion="8" refreshedVersion="8" minRefreshableVersion="3" recordCount="287" xr:uid="{A779CB67-EA8D-404F-8E1B-E96126804C1D}">
  <cacheSource type="worksheet">
    <worksheetSource ref="L2:M289" sheet="RFM Analysis Table"/>
  </cacheSource>
  <cacheFields count="2">
    <cacheField name="Monetary($)" numFmtId="0">
      <sharedItems containsSemiMixedTypes="0" containsString="0" containsNumber="1" minValue="4.12" maxValue="190.97"/>
    </cacheField>
    <cacheField name="Recency Score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ER00001"/>
    <x v="0"/>
    <d v="2025-02-10T08:13:56"/>
    <s v="Canvas Print"/>
    <n v="45.41"/>
  </r>
  <r>
    <s v="ORDER00002"/>
    <x v="1"/>
    <d v="2025-10-14T08:13:56"/>
    <s v="Poster"/>
    <n v="13.71"/>
  </r>
  <r>
    <s v="ORDER00003"/>
    <x v="2"/>
    <d v="2025-07-28T08:13:56"/>
    <s v="Business Card"/>
    <n v="11.66"/>
  </r>
  <r>
    <s v="ORDER00004"/>
    <x v="3"/>
    <d v="2025-02-14T08:13:56"/>
    <s v="Flyer"/>
    <n v="9.07"/>
  </r>
  <r>
    <s v="ORDER00005"/>
    <x v="4"/>
    <d v="2025-01-10T08:13:56"/>
    <s v="Flyer"/>
    <n v="11.16"/>
  </r>
  <r>
    <s v="ORDER00006"/>
    <x v="5"/>
    <d v="2025-05-07T08:13:56"/>
    <s v="Poster"/>
    <n v="15.44"/>
  </r>
  <r>
    <s v="ORDER00007"/>
    <x v="6"/>
    <d v="2024-11-20T08:13:56"/>
    <s v="Business Card"/>
    <n v="12.76"/>
  </r>
  <r>
    <s v="ORDER00008"/>
    <x v="7"/>
    <d v="2025-02-10T08:13:56"/>
    <s v="Poster"/>
    <n v="13.51"/>
  </r>
  <r>
    <s v="ORDER00009"/>
    <x v="8"/>
    <d v="2025-03-01T08:13:56"/>
    <s v="Canvas Print"/>
    <n v="35.520000000000003"/>
  </r>
  <r>
    <s v="ORDER00010"/>
    <x v="9"/>
    <d v="2025-06-02T08:13:56"/>
    <s v="Photo Book"/>
    <n v="24.88"/>
  </r>
  <r>
    <s v="ORDER00011"/>
    <x v="10"/>
    <d v="2025-09-26T08:13:56"/>
    <s v="Flyer"/>
    <n v="10.95"/>
  </r>
  <r>
    <s v="ORDER00012"/>
    <x v="11"/>
    <d v="2025-01-26T08:13:56"/>
    <s v="Canvas Print"/>
    <n v="40.4"/>
  </r>
  <r>
    <s v="ORDER00013"/>
    <x v="12"/>
    <d v="2025-02-07T08:13:56"/>
    <s v="Photo Book"/>
    <n v="20.329999999999998"/>
  </r>
  <r>
    <s v="ORDER00014"/>
    <x v="13"/>
    <d v="2025-10-25T08:13:56"/>
    <s v="Canvas Print"/>
    <n v="45.9"/>
  </r>
  <r>
    <s v="ORDER00015"/>
    <x v="14"/>
    <d v="2025-03-31T08:13:56"/>
    <s v="Business Card"/>
    <n v="9.91"/>
  </r>
  <r>
    <s v="ORDER00016"/>
    <x v="15"/>
    <d v="2025-03-10T08:13:56"/>
    <s v="Flyer"/>
    <n v="11.82"/>
  </r>
  <r>
    <s v="ORDER00017"/>
    <x v="16"/>
    <d v="2025-03-29T08:13:56"/>
    <s v="Poster"/>
    <n v="12.15"/>
  </r>
  <r>
    <s v="ORDER00018"/>
    <x v="17"/>
    <d v="2025-09-04T08:13:56"/>
    <s v="Poster"/>
    <n v="16.170000000000002"/>
  </r>
  <r>
    <s v="ORDER00019"/>
    <x v="18"/>
    <d v="2025-07-15T08:13:56"/>
    <s v="Photo Book"/>
    <n v="20.82"/>
  </r>
  <r>
    <s v="ORDER00020"/>
    <x v="19"/>
    <d v="2025-10-09T08:13:56"/>
    <s v="Greeting Card"/>
    <n v="5.82"/>
  </r>
  <r>
    <s v="ORDER00021"/>
    <x v="20"/>
    <d v="2025-08-20T08:13:56"/>
    <s v="Business Card"/>
    <n v="11.83"/>
  </r>
  <r>
    <s v="ORDER00022"/>
    <x v="21"/>
    <d v="2025-05-10T08:13:56"/>
    <s v="Photo Book"/>
    <n v="21.38"/>
  </r>
  <r>
    <s v="ORDER00023"/>
    <x v="22"/>
    <d v="2025-08-03T08:13:56"/>
    <s v="Greeting Card"/>
    <n v="4.68"/>
  </r>
  <r>
    <s v="ORDER00024"/>
    <x v="23"/>
    <d v="2025-04-09T08:13:56"/>
    <s v="Canvas Print"/>
    <n v="34.64"/>
  </r>
  <r>
    <s v="ORDER00025"/>
    <x v="24"/>
    <d v="2025-09-09T08:13:56"/>
    <s v="Business Card"/>
    <n v="10.42"/>
  </r>
  <r>
    <s v="ORDER00026"/>
    <x v="25"/>
    <d v="2024-11-21T08:13:56"/>
    <s v="Canvas Print"/>
    <n v="47.17"/>
  </r>
  <r>
    <s v="ORDER00027"/>
    <x v="26"/>
    <d v="2025-07-10T08:13:56"/>
    <s v="Flyer"/>
    <n v="9.7799999999999994"/>
  </r>
  <r>
    <s v="ORDER00028"/>
    <x v="27"/>
    <d v="2025-06-23T08:13:56"/>
    <s v="Business Card"/>
    <n v="13.39"/>
  </r>
  <r>
    <s v="ORDER00029"/>
    <x v="28"/>
    <d v="2025-10-10T08:13:56"/>
    <s v="Greeting Card"/>
    <n v="5.28"/>
  </r>
  <r>
    <s v="ORDER00030"/>
    <x v="29"/>
    <d v="2024-12-18T08:13:56"/>
    <s v="Flyer"/>
    <n v="10.71"/>
  </r>
  <r>
    <s v="ORDER00031"/>
    <x v="30"/>
    <d v="2024-12-28T08:13:56"/>
    <s v="Poster"/>
    <n v="12.79"/>
  </r>
  <r>
    <s v="ORDER00032"/>
    <x v="31"/>
    <d v="2025-04-18T08:13:56"/>
    <s v="Greeting Card"/>
    <n v="4.47"/>
  </r>
  <r>
    <s v="ORDER00033"/>
    <x v="32"/>
    <d v="2025-05-06T08:13:56"/>
    <s v="Photo Book"/>
    <n v="27.87"/>
  </r>
  <r>
    <s v="ORDER00034"/>
    <x v="33"/>
    <d v="2025-07-28T08:13:56"/>
    <s v="Poster"/>
    <n v="17.82"/>
  </r>
  <r>
    <s v="ORDER00035"/>
    <x v="34"/>
    <d v="2025-05-08T08:13:56"/>
    <s v="Poster"/>
    <n v="13.58"/>
  </r>
  <r>
    <s v="ORDER00036"/>
    <x v="35"/>
    <d v="2025-04-23T08:13:56"/>
    <s v="Photo Book"/>
    <n v="22.72"/>
  </r>
  <r>
    <s v="ORDER00037"/>
    <x v="36"/>
    <d v="2024-12-20T08:13:56"/>
    <s v="Business Card"/>
    <n v="11.87"/>
  </r>
  <r>
    <s v="ORDER00038"/>
    <x v="37"/>
    <d v="2025-10-29T08:13:56"/>
    <s v="Poster"/>
    <n v="17.899999999999999"/>
  </r>
  <r>
    <s v="ORDER00039"/>
    <x v="38"/>
    <d v="2024-12-24T08:13:56"/>
    <s v="Greeting Card"/>
    <n v="4.54"/>
  </r>
  <r>
    <s v="ORDER00040"/>
    <x v="36"/>
    <d v="2025-07-01T08:13:56"/>
    <s v="Flyer"/>
    <n v="9.6300000000000008"/>
  </r>
  <r>
    <s v="ORDER00041"/>
    <x v="23"/>
    <d v="2025-09-15T08:13:56"/>
    <s v="Poster"/>
    <n v="17.350000000000001"/>
  </r>
  <r>
    <s v="ORDER00042"/>
    <x v="39"/>
    <d v="2025-03-10T08:13:56"/>
    <s v="Greeting Card"/>
    <n v="4.01"/>
  </r>
  <r>
    <s v="ORDER00043"/>
    <x v="40"/>
    <d v="2025-09-02T08:13:56"/>
    <s v="Canvas Print"/>
    <n v="32.64"/>
  </r>
  <r>
    <s v="ORDER00044"/>
    <x v="41"/>
    <d v="2025-03-14T08:13:56"/>
    <s v="Greeting Card"/>
    <n v="5.21"/>
  </r>
  <r>
    <s v="ORDER00045"/>
    <x v="42"/>
    <d v="2024-11-20T08:13:56"/>
    <s v="Flyer"/>
    <n v="11.63"/>
  </r>
  <r>
    <s v="ORDER00046"/>
    <x v="43"/>
    <d v="2025-09-24T08:13:56"/>
    <s v="Greeting Card"/>
    <n v="4.4800000000000004"/>
  </r>
  <r>
    <s v="ORDER00047"/>
    <x v="44"/>
    <d v="2025-04-15T08:13:56"/>
    <s v="Photo Book"/>
    <n v="24.7"/>
  </r>
  <r>
    <s v="ORDER00048"/>
    <x v="45"/>
    <d v="2025-07-31T08:13:56"/>
    <s v="Flyer"/>
    <n v="9.8000000000000007"/>
  </r>
  <r>
    <s v="ORDER00049"/>
    <x v="46"/>
    <d v="2025-01-27T08:13:56"/>
    <s v="Business Card"/>
    <n v="11.87"/>
  </r>
  <r>
    <s v="ORDER00050"/>
    <x v="47"/>
    <d v="2025-09-11T08:13:56"/>
    <s v="Canvas Print"/>
    <n v="41.96"/>
  </r>
  <r>
    <s v="ORDER00051"/>
    <x v="48"/>
    <d v="2024-11-13T08:13:56"/>
    <s v="Photo Book"/>
    <n v="24.7"/>
  </r>
  <r>
    <s v="ORDER00052"/>
    <x v="49"/>
    <d v="2025-06-29T08:13:56"/>
    <s v="Business Card"/>
    <n v="11.75"/>
  </r>
  <r>
    <s v="ORDER00053"/>
    <x v="50"/>
    <d v="2025-07-22T08:13:56"/>
    <s v="Greeting Card"/>
    <n v="4.95"/>
  </r>
  <r>
    <s v="ORDER00054"/>
    <x v="40"/>
    <d v="2025-10-11T08:13:56"/>
    <s v="Flyer"/>
    <n v="10.36"/>
  </r>
  <r>
    <s v="ORDER00055"/>
    <x v="40"/>
    <d v="2024-12-22T08:13:56"/>
    <s v="Canvas Print"/>
    <n v="40.590000000000003"/>
  </r>
  <r>
    <s v="ORDER00056"/>
    <x v="51"/>
    <d v="2025-10-05T08:13:56"/>
    <s v="Photo Book"/>
    <n v="28.54"/>
  </r>
  <r>
    <s v="ORDER00057"/>
    <x v="52"/>
    <d v="2025-01-30T08:13:56"/>
    <s v="Business Card"/>
    <n v="9.84"/>
  </r>
  <r>
    <s v="ORDER00058"/>
    <x v="53"/>
    <d v="2025-07-21T08:13:56"/>
    <s v="Business Card"/>
    <n v="13.6"/>
  </r>
  <r>
    <s v="ORDER00059"/>
    <x v="54"/>
    <d v="2024-12-04T08:13:56"/>
    <s v="Canvas Print"/>
    <n v="45.5"/>
  </r>
  <r>
    <s v="ORDER00060"/>
    <x v="43"/>
    <d v="2025-05-24T08:13:56"/>
    <s v="Greeting Card"/>
    <n v="4.57"/>
  </r>
  <r>
    <s v="ORDER00061"/>
    <x v="38"/>
    <d v="2025-01-19T08:13:56"/>
    <s v="Canvas Print"/>
    <n v="39.409999999999997"/>
  </r>
  <r>
    <s v="ORDER00062"/>
    <x v="55"/>
    <d v="2024-12-19T08:13:56"/>
    <s v="Business Card"/>
    <n v="11.7"/>
  </r>
  <r>
    <s v="ORDER00063"/>
    <x v="56"/>
    <d v="2025-10-25T08:13:56"/>
    <s v="Poster"/>
    <n v="13.31"/>
  </r>
  <r>
    <s v="ORDER00064"/>
    <x v="57"/>
    <d v="2024-11-01T08:13:56"/>
    <s v="Photo Book"/>
    <n v="23.97"/>
  </r>
  <r>
    <s v="ORDER00065"/>
    <x v="58"/>
    <d v="2024-12-23T08:13:56"/>
    <s v="Canvas Print"/>
    <n v="32.71"/>
  </r>
  <r>
    <s v="ORDER00066"/>
    <x v="59"/>
    <d v="2025-02-13T08:13:56"/>
    <s v="Business Card"/>
    <n v="10.93"/>
  </r>
  <r>
    <s v="ORDER00067"/>
    <x v="57"/>
    <d v="2025-07-17T08:13:56"/>
    <s v="Greeting Card"/>
    <n v="5.63"/>
  </r>
  <r>
    <s v="ORDER00068"/>
    <x v="14"/>
    <d v="2025-09-05T08:13:56"/>
    <s v="Business Card"/>
    <n v="10.97"/>
  </r>
  <r>
    <s v="ORDER00069"/>
    <x v="60"/>
    <d v="2025-05-09T08:13:56"/>
    <s v="Greeting Card"/>
    <n v="5.64"/>
  </r>
  <r>
    <s v="ORDER00070"/>
    <x v="58"/>
    <d v="2025-06-05T08:13:56"/>
    <s v="Canvas Print"/>
    <n v="40.51"/>
  </r>
  <r>
    <s v="ORDER00071"/>
    <x v="61"/>
    <d v="2024-12-13T08:13:56"/>
    <s v="Greeting Card"/>
    <n v="5.76"/>
  </r>
  <r>
    <s v="ORDER00072"/>
    <x v="62"/>
    <d v="2025-04-10T08:13:56"/>
    <s v="Flyer"/>
    <n v="10.3"/>
  </r>
  <r>
    <s v="ORDER00073"/>
    <x v="63"/>
    <d v="2025-05-20T08:13:56"/>
    <s v="Flyer"/>
    <n v="8.1199999999999992"/>
  </r>
  <r>
    <s v="ORDER00074"/>
    <x v="3"/>
    <d v="2025-07-27T08:13:56"/>
    <s v="Flyer"/>
    <n v="10.7"/>
  </r>
  <r>
    <s v="ORDER00075"/>
    <x v="32"/>
    <d v="2025-10-16T08:13:56"/>
    <s v="Poster"/>
    <n v="12.27"/>
  </r>
  <r>
    <s v="ORDER00076"/>
    <x v="64"/>
    <d v="2025-08-30T08:13:56"/>
    <s v="Canvas Print"/>
    <n v="39.21"/>
  </r>
  <r>
    <s v="ORDER00077"/>
    <x v="65"/>
    <d v="2025-07-28T08:13:56"/>
    <s v="Business Card"/>
    <n v="14.06"/>
  </r>
  <r>
    <s v="ORDER00078"/>
    <x v="66"/>
    <d v="2025-06-02T08:13:56"/>
    <s v="Business Card"/>
    <n v="10.39"/>
  </r>
  <r>
    <s v="ORDER00079"/>
    <x v="67"/>
    <d v="2025-07-09T08:13:56"/>
    <s v="Poster"/>
    <n v="14.34"/>
  </r>
  <r>
    <s v="ORDER00080"/>
    <x v="68"/>
    <d v="2025-05-08T08:13:56"/>
    <s v="Greeting Card"/>
    <n v="5.46"/>
  </r>
  <r>
    <s v="ORDER00081"/>
    <x v="69"/>
    <d v="2025-08-22T08:13:56"/>
    <s v="Poster"/>
    <n v="17.29"/>
  </r>
  <r>
    <s v="ORDER00082"/>
    <x v="70"/>
    <d v="2025-05-31T08:13:56"/>
    <s v="Greeting Card"/>
    <n v="5.34"/>
  </r>
  <r>
    <s v="ORDER00083"/>
    <x v="55"/>
    <d v="2025-05-26T08:13:56"/>
    <s v="Greeting Card"/>
    <n v="4.5199999999999996"/>
  </r>
  <r>
    <s v="ORDER00084"/>
    <x v="57"/>
    <d v="2025-06-24T08:13:56"/>
    <s v="Photo Book"/>
    <n v="26.75"/>
  </r>
  <r>
    <s v="ORDER00085"/>
    <x v="71"/>
    <d v="2025-10-03T08:13:56"/>
    <s v="Business Card"/>
    <n v="11.02"/>
  </r>
  <r>
    <s v="ORDER00086"/>
    <x v="4"/>
    <d v="2024-12-22T08:13:56"/>
    <s v="Flyer"/>
    <n v="10.87"/>
  </r>
  <r>
    <s v="ORDER00087"/>
    <x v="57"/>
    <d v="2025-08-06T08:13:56"/>
    <s v="Greeting Card"/>
    <n v="5.91"/>
  </r>
  <r>
    <s v="ORDER00088"/>
    <x v="72"/>
    <d v="2025-06-04T08:13:56"/>
    <s v="Photo Book"/>
    <n v="27.21"/>
  </r>
  <r>
    <s v="ORDER00089"/>
    <x v="73"/>
    <d v="2025-07-09T08:13:56"/>
    <s v="Business Card"/>
    <n v="13.74"/>
  </r>
  <r>
    <s v="ORDER00090"/>
    <x v="9"/>
    <d v="2025-05-06T08:13:56"/>
    <s v="Flyer"/>
    <n v="8.01"/>
  </r>
  <r>
    <s v="ORDER00091"/>
    <x v="16"/>
    <d v="2024-12-10T08:13:56"/>
    <s v="Greeting Card"/>
    <n v="5.44"/>
  </r>
  <r>
    <s v="ORDER00092"/>
    <x v="74"/>
    <d v="2025-04-05T08:13:56"/>
    <s v="Greeting Card"/>
    <n v="5.66"/>
  </r>
  <r>
    <s v="ORDER00093"/>
    <x v="75"/>
    <d v="2024-11-14T08:13:56"/>
    <s v="Poster"/>
    <n v="12.24"/>
  </r>
  <r>
    <s v="ORDER00094"/>
    <x v="76"/>
    <d v="2025-08-27T08:13:56"/>
    <s v="Poster"/>
    <n v="17.23"/>
  </r>
  <r>
    <s v="ORDER00095"/>
    <x v="77"/>
    <d v="2025-01-03T08:13:56"/>
    <s v="Business Card"/>
    <n v="10.83"/>
  </r>
  <r>
    <s v="ORDER00096"/>
    <x v="78"/>
    <d v="2025-10-10T08:13:56"/>
    <s v="Flyer"/>
    <n v="10.66"/>
  </r>
  <r>
    <s v="ORDER00097"/>
    <x v="79"/>
    <d v="2025-09-22T08:13:56"/>
    <s v="Greeting Card"/>
    <n v="5.6"/>
  </r>
  <r>
    <s v="ORDER00098"/>
    <x v="17"/>
    <d v="2024-11-08T08:13:56"/>
    <s v="Business Card"/>
    <n v="12.78"/>
  </r>
  <r>
    <s v="ORDER00099"/>
    <x v="80"/>
    <d v="2025-10-09T08:13:56"/>
    <s v="Business Card"/>
    <n v="10.039999999999999"/>
  </r>
  <r>
    <s v="ORDER00100"/>
    <x v="81"/>
    <d v="2025-03-08T08:13:56"/>
    <s v="Canvas Print"/>
    <n v="41.54"/>
  </r>
  <r>
    <s v="ORDER00101"/>
    <x v="61"/>
    <d v="2025-03-15T08:13:56"/>
    <s v="Poster"/>
    <n v="15.3"/>
  </r>
  <r>
    <s v="ORDER00102"/>
    <x v="14"/>
    <d v="2025-01-01T08:13:56"/>
    <s v="Flyer"/>
    <n v="11.6"/>
  </r>
  <r>
    <s v="ORDER00103"/>
    <x v="53"/>
    <d v="2025-03-18T08:13:56"/>
    <s v="Greeting Card"/>
    <n v="4.8099999999999996"/>
  </r>
  <r>
    <s v="ORDER00104"/>
    <x v="82"/>
    <d v="2025-01-19T08:13:56"/>
    <s v="Business Card"/>
    <n v="11.14"/>
  </r>
  <r>
    <s v="ORDER00105"/>
    <x v="45"/>
    <d v="2025-04-11T08:13:56"/>
    <s v="Greeting Card"/>
    <n v="5.5"/>
  </r>
  <r>
    <s v="ORDER00106"/>
    <x v="83"/>
    <d v="2025-08-15T08:13:56"/>
    <s v="Canvas Print"/>
    <n v="38.6"/>
  </r>
  <r>
    <s v="ORDER00107"/>
    <x v="84"/>
    <d v="2025-07-18T08:13:56"/>
    <s v="Flyer"/>
    <n v="10.58"/>
  </r>
  <r>
    <s v="ORDER00108"/>
    <x v="40"/>
    <d v="2025-06-18T08:13:56"/>
    <s v="Business Card"/>
    <n v="12.7"/>
  </r>
  <r>
    <s v="ORDER00109"/>
    <x v="85"/>
    <d v="2024-12-10T08:13:56"/>
    <s v="Greeting Card"/>
    <n v="5.78"/>
  </r>
  <r>
    <s v="ORDER00110"/>
    <x v="56"/>
    <d v="2024-11-27T08:13:56"/>
    <s v="Poster"/>
    <n v="15.59"/>
  </r>
  <r>
    <s v="ORDER00111"/>
    <x v="40"/>
    <d v="2025-03-14T08:13:56"/>
    <s v="Canvas Print"/>
    <n v="40.03"/>
  </r>
  <r>
    <s v="ORDER00112"/>
    <x v="86"/>
    <d v="2025-05-19T08:13:56"/>
    <s v="Flyer"/>
    <n v="8.56"/>
  </r>
  <r>
    <s v="ORDER00113"/>
    <x v="87"/>
    <d v="2025-09-23T08:13:56"/>
    <s v="Canvas Print"/>
    <n v="33.85"/>
  </r>
  <r>
    <s v="ORDER00114"/>
    <x v="88"/>
    <d v="2025-07-25T08:13:56"/>
    <s v="Poster"/>
    <n v="12.93"/>
  </r>
  <r>
    <s v="ORDER00115"/>
    <x v="89"/>
    <d v="2024-12-02T08:13:56"/>
    <s v="Flyer"/>
    <n v="8.69"/>
  </r>
  <r>
    <s v="ORDER00116"/>
    <x v="90"/>
    <d v="2024-12-17T08:13:56"/>
    <s v="Canvas Print"/>
    <n v="42.21"/>
  </r>
  <r>
    <s v="ORDER00117"/>
    <x v="91"/>
    <d v="2024-12-31T08:13:56"/>
    <s v="Photo Book"/>
    <n v="27.41"/>
  </r>
  <r>
    <s v="ORDER00118"/>
    <x v="92"/>
    <d v="2025-06-03T08:13:56"/>
    <s v="Poster"/>
    <n v="15.18"/>
  </r>
  <r>
    <s v="ORDER00119"/>
    <x v="93"/>
    <d v="2025-08-19T08:13:56"/>
    <s v="Poster"/>
    <n v="16.97"/>
  </r>
  <r>
    <s v="ORDER00120"/>
    <x v="94"/>
    <d v="2025-02-06T08:13:56"/>
    <s v="Poster"/>
    <n v="17.95"/>
  </r>
  <r>
    <s v="ORDER00121"/>
    <x v="23"/>
    <d v="2025-04-20T08:13:56"/>
    <s v="Photo Book"/>
    <n v="28.2"/>
  </r>
  <r>
    <s v="ORDER00122"/>
    <x v="95"/>
    <d v="2025-10-25T08:13:56"/>
    <s v="Photo Book"/>
    <n v="26.95"/>
  </r>
  <r>
    <s v="ORDER00123"/>
    <x v="96"/>
    <d v="2025-06-01T08:13:56"/>
    <s v="Greeting Card"/>
    <n v="5.0599999999999996"/>
  </r>
  <r>
    <s v="ORDER00124"/>
    <x v="25"/>
    <d v="2024-12-04T08:13:56"/>
    <s v="Business Card"/>
    <n v="11.75"/>
  </r>
  <r>
    <s v="ORDER00125"/>
    <x v="97"/>
    <d v="2025-06-14T08:13:56"/>
    <s v="Canvas Print"/>
    <n v="33.35"/>
  </r>
  <r>
    <s v="ORDER00126"/>
    <x v="11"/>
    <d v="2025-02-08T08:13:56"/>
    <s v="Greeting Card"/>
    <n v="4.8"/>
  </r>
  <r>
    <s v="ORDER00127"/>
    <x v="98"/>
    <d v="2025-03-10T08:13:56"/>
    <s v="Canvas Print"/>
    <n v="46.56"/>
  </r>
  <r>
    <s v="ORDER00128"/>
    <x v="99"/>
    <d v="2025-07-14T08:13:56"/>
    <s v="Business Card"/>
    <n v="13.48"/>
  </r>
  <r>
    <s v="ORDER00129"/>
    <x v="22"/>
    <d v="2024-11-04T08:13:56"/>
    <s v="Photo Book"/>
    <n v="22.16"/>
  </r>
  <r>
    <s v="ORDER00130"/>
    <x v="100"/>
    <d v="2025-06-05T08:13:56"/>
    <s v="Business Card"/>
    <n v="11.84"/>
  </r>
  <r>
    <s v="ORDER00131"/>
    <x v="101"/>
    <d v="2025-07-12T08:13:56"/>
    <s v="Photo Book"/>
    <n v="28.17"/>
  </r>
  <r>
    <s v="ORDER00132"/>
    <x v="19"/>
    <d v="2025-10-24T08:13:56"/>
    <s v="Business Card"/>
    <n v="9.92"/>
  </r>
  <r>
    <s v="ORDER00133"/>
    <x v="102"/>
    <d v="2025-08-09T08:13:56"/>
    <s v="Greeting Card"/>
    <n v="4.7699999999999996"/>
  </r>
  <r>
    <s v="ORDER00134"/>
    <x v="103"/>
    <d v="2025-05-25T08:13:56"/>
    <s v="Flyer"/>
    <n v="11.41"/>
  </r>
  <r>
    <s v="ORDER00135"/>
    <x v="104"/>
    <d v="2024-11-14T08:13:56"/>
    <s v="Greeting Card"/>
    <n v="4.8099999999999996"/>
  </r>
  <r>
    <s v="ORDER00136"/>
    <x v="29"/>
    <d v="2025-10-11T08:13:56"/>
    <s v="Canvas Print"/>
    <n v="33.24"/>
  </r>
  <r>
    <s v="ORDER00137"/>
    <x v="46"/>
    <d v="2024-12-11T08:13:56"/>
    <s v="Greeting Card"/>
    <n v="5.09"/>
  </r>
  <r>
    <s v="ORDER00138"/>
    <x v="105"/>
    <d v="2025-04-27T08:13:56"/>
    <s v="Poster"/>
    <n v="17.170000000000002"/>
  </r>
  <r>
    <s v="ORDER00139"/>
    <x v="106"/>
    <d v="2025-01-01T08:13:56"/>
    <s v="Canvas Print"/>
    <n v="41.44"/>
  </r>
  <r>
    <s v="ORDER00140"/>
    <x v="107"/>
    <d v="2025-10-17T08:13:56"/>
    <s v="Business Card"/>
    <n v="10.69"/>
  </r>
  <r>
    <s v="ORDER00141"/>
    <x v="108"/>
    <d v="2025-06-18T08:13:56"/>
    <s v="Canvas Print"/>
    <n v="38.15"/>
  </r>
  <r>
    <s v="ORDER00142"/>
    <x v="66"/>
    <d v="2025-06-28T08:13:56"/>
    <s v="Flyer"/>
    <n v="9.8000000000000007"/>
  </r>
  <r>
    <s v="ORDER00143"/>
    <x v="85"/>
    <d v="2024-12-21T08:13:56"/>
    <s v="Photo Book"/>
    <n v="25.79"/>
  </r>
  <r>
    <s v="ORDER00144"/>
    <x v="109"/>
    <d v="2025-02-03T08:13:56"/>
    <s v="Business Card"/>
    <n v="13.24"/>
  </r>
  <r>
    <s v="ORDER00145"/>
    <x v="110"/>
    <d v="2025-06-09T08:13:56"/>
    <s v="Canvas Print"/>
    <n v="33.58"/>
  </r>
  <r>
    <s v="ORDER00146"/>
    <x v="111"/>
    <d v="2025-06-18T08:13:56"/>
    <s v="Business Card"/>
    <n v="13.87"/>
  </r>
  <r>
    <s v="ORDER00147"/>
    <x v="43"/>
    <d v="2025-06-24T08:13:56"/>
    <s v="Business Card"/>
    <n v="9.66"/>
  </r>
  <r>
    <s v="ORDER00148"/>
    <x v="99"/>
    <d v="2025-03-22T08:13:56"/>
    <s v="Business Card"/>
    <n v="11.38"/>
  </r>
  <r>
    <s v="ORDER00149"/>
    <x v="112"/>
    <d v="2025-04-19T08:13:56"/>
    <s v="Photo Book"/>
    <n v="20.27"/>
  </r>
  <r>
    <s v="ORDER00150"/>
    <x v="106"/>
    <d v="2024-11-28T08:13:56"/>
    <s v="Greeting Card"/>
    <n v="4.79"/>
  </r>
  <r>
    <s v="ORDER00151"/>
    <x v="113"/>
    <d v="2024-12-05T08:13:56"/>
    <s v="Business Card"/>
    <n v="12.12"/>
  </r>
  <r>
    <s v="ORDER00152"/>
    <x v="52"/>
    <d v="2024-11-12T08:13:56"/>
    <s v="Poster"/>
    <n v="15.07"/>
  </r>
  <r>
    <s v="ORDER00153"/>
    <x v="1"/>
    <d v="2025-04-08T08:13:56"/>
    <s v="Flyer"/>
    <n v="8.66"/>
  </r>
  <r>
    <s v="ORDER00154"/>
    <x v="114"/>
    <d v="2025-09-22T08:13:56"/>
    <s v="Photo Book"/>
    <n v="26.46"/>
  </r>
  <r>
    <s v="ORDER00155"/>
    <x v="115"/>
    <d v="2025-05-05T08:13:56"/>
    <s v="Canvas Print"/>
    <n v="32.72"/>
  </r>
  <r>
    <s v="ORDER00156"/>
    <x v="46"/>
    <d v="2025-06-30T08:13:56"/>
    <s v="Photo Book"/>
    <n v="27.62"/>
  </r>
  <r>
    <s v="ORDER00157"/>
    <x v="116"/>
    <d v="2025-01-24T08:13:56"/>
    <s v="Canvas Print"/>
    <n v="47.15"/>
  </r>
  <r>
    <s v="ORDER00158"/>
    <x v="104"/>
    <d v="2025-08-10T08:13:56"/>
    <s v="Photo Book"/>
    <n v="23.4"/>
  </r>
  <r>
    <s v="ORDER00159"/>
    <x v="117"/>
    <d v="2025-01-04T08:13:56"/>
    <s v="Canvas Print"/>
    <n v="40.28"/>
  </r>
  <r>
    <s v="ORDER00160"/>
    <x v="118"/>
    <d v="2025-04-18T08:13:56"/>
    <s v="Business Card"/>
    <n v="11.42"/>
  </r>
  <r>
    <s v="ORDER00161"/>
    <x v="10"/>
    <d v="2024-12-14T08:13:56"/>
    <s v="Greeting Card"/>
    <n v="4.01"/>
  </r>
  <r>
    <s v="ORDER00162"/>
    <x v="114"/>
    <d v="2024-12-31T08:13:56"/>
    <s v="Canvas Print"/>
    <n v="38.17"/>
  </r>
  <r>
    <s v="ORDER00163"/>
    <x v="80"/>
    <d v="2025-03-13T08:13:56"/>
    <s v="Canvas Print"/>
    <n v="44.67"/>
  </r>
  <r>
    <s v="ORDER00164"/>
    <x v="65"/>
    <d v="2025-08-10T08:13:56"/>
    <s v="Poster"/>
    <n v="15.58"/>
  </r>
  <r>
    <s v="ORDER00165"/>
    <x v="46"/>
    <d v="2024-11-27T08:13:56"/>
    <s v="Canvas Print"/>
    <n v="33.619999999999997"/>
  </r>
  <r>
    <s v="ORDER00166"/>
    <x v="119"/>
    <d v="2025-02-15T08:13:56"/>
    <s v="Poster"/>
    <n v="17.079999999999998"/>
  </r>
  <r>
    <s v="ORDER00167"/>
    <x v="118"/>
    <d v="2024-12-13T08:13:56"/>
    <s v="Flyer"/>
    <n v="10.119999999999999"/>
  </r>
  <r>
    <s v="ORDER00168"/>
    <x v="97"/>
    <d v="2025-10-05T08:13:56"/>
    <s v="Business Card"/>
    <n v="13.64"/>
  </r>
  <r>
    <s v="ORDER00169"/>
    <x v="120"/>
    <d v="2025-08-12T08:13:56"/>
    <s v="Poster"/>
    <n v="15.48"/>
  </r>
  <r>
    <s v="ORDER00170"/>
    <x v="84"/>
    <d v="2025-09-26T08:13:56"/>
    <s v="Greeting Card"/>
    <n v="5.12"/>
  </r>
  <r>
    <s v="ORDER00171"/>
    <x v="121"/>
    <d v="2025-03-07T08:13:56"/>
    <s v="Business Card"/>
    <n v="10.11"/>
  </r>
  <r>
    <s v="ORDER00172"/>
    <x v="122"/>
    <d v="2025-10-13T08:13:56"/>
    <s v="Poster"/>
    <n v="13"/>
  </r>
  <r>
    <s v="ORDER00173"/>
    <x v="123"/>
    <d v="2025-06-18T08:13:56"/>
    <s v="Business Card"/>
    <n v="14.27"/>
  </r>
  <r>
    <s v="ORDER00174"/>
    <x v="124"/>
    <d v="2025-05-08T08:13:56"/>
    <s v="Business Card"/>
    <n v="10.7"/>
  </r>
  <r>
    <s v="ORDER00175"/>
    <x v="115"/>
    <d v="2025-06-12T08:13:56"/>
    <s v="Business Card"/>
    <n v="14.29"/>
  </r>
  <r>
    <s v="ORDER00176"/>
    <x v="28"/>
    <d v="2025-08-09T08:13:56"/>
    <s v="Flyer"/>
    <n v="10.130000000000001"/>
  </r>
  <r>
    <s v="ORDER00177"/>
    <x v="125"/>
    <d v="2025-02-28T08:13:56"/>
    <s v="Greeting Card"/>
    <n v="4.2699999999999996"/>
  </r>
  <r>
    <s v="ORDER00178"/>
    <x v="126"/>
    <d v="2025-02-23T08:13:56"/>
    <s v="Photo Book"/>
    <n v="20.99"/>
  </r>
  <r>
    <s v="ORDER00179"/>
    <x v="127"/>
    <d v="2025-06-20T08:13:56"/>
    <s v="Photo Book"/>
    <n v="22.09"/>
  </r>
  <r>
    <s v="ORDER00180"/>
    <x v="97"/>
    <d v="2025-07-16T08:13:56"/>
    <s v="Poster"/>
    <n v="17.55"/>
  </r>
  <r>
    <s v="ORDER00181"/>
    <x v="33"/>
    <d v="2025-10-24T08:13:56"/>
    <s v="Business Card"/>
    <n v="11.59"/>
  </r>
  <r>
    <s v="ORDER00182"/>
    <x v="128"/>
    <d v="2025-05-16T08:13:56"/>
    <s v="Poster"/>
    <n v="14.37"/>
  </r>
  <r>
    <s v="ORDER00183"/>
    <x v="129"/>
    <d v="2025-03-16T08:13:56"/>
    <s v="Flyer"/>
    <n v="9.25"/>
  </r>
  <r>
    <s v="ORDER00184"/>
    <x v="130"/>
    <d v="2025-09-13T08:13:56"/>
    <s v="Flyer"/>
    <n v="8.59"/>
  </r>
  <r>
    <s v="ORDER00185"/>
    <x v="131"/>
    <d v="2025-04-13T08:13:56"/>
    <s v="Canvas Print"/>
    <n v="39.81"/>
  </r>
  <r>
    <s v="ORDER00186"/>
    <x v="132"/>
    <d v="2025-06-12T08:13:56"/>
    <s v="Flyer"/>
    <n v="8.52"/>
  </r>
  <r>
    <s v="ORDER00187"/>
    <x v="133"/>
    <d v="2025-09-02T08:13:56"/>
    <s v="Canvas Print"/>
    <n v="45.37"/>
  </r>
  <r>
    <s v="ORDER00188"/>
    <x v="35"/>
    <d v="2025-06-21T08:13:56"/>
    <s v="Greeting Card"/>
    <n v="4.74"/>
  </r>
  <r>
    <s v="ORDER00189"/>
    <x v="134"/>
    <d v="2025-04-20T08:13:56"/>
    <s v="Poster"/>
    <n v="14.25"/>
  </r>
  <r>
    <s v="ORDER00190"/>
    <x v="100"/>
    <d v="2025-03-31T08:13:56"/>
    <s v="Greeting Card"/>
    <n v="4.95"/>
  </r>
  <r>
    <s v="ORDER00191"/>
    <x v="135"/>
    <d v="2025-09-10T08:13:56"/>
    <s v="Flyer"/>
    <n v="9.7799999999999994"/>
  </r>
  <r>
    <s v="ORDER00192"/>
    <x v="42"/>
    <d v="2025-04-08T08:13:56"/>
    <s v="Greeting Card"/>
    <n v="5.99"/>
  </r>
  <r>
    <s v="ORDER00193"/>
    <x v="136"/>
    <d v="2025-02-03T08:13:56"/>
    <s v="Greeting Card"/>
    <n v="5.09"/>
  </r>
  <r>
    <s v="ORDER00194"/>
    <x v="137"/>
    <d v="2025-06-20T08:13:56"/>
    <s v="Greeting Card"/>
    <n v="4.18"/>
  </r>
  <r>
    <s v="ORDER00195"/>
    <x v="138"/>
    <d v="2025-04-28T08:13:56"/>
    <s v="Flyer"/>
    <n v="10.43"/>
  </r>
  <r>
    <s v="ORDER00196"/>
    <x v="100"/>
    <d v="2025-02-20T08:13:56"/>
    <s v="Business Card"/>
    <n v="10.33"/>
  </r>
  <r>
    <s v="ORDER00197"/>
    <x v="42"/>
    <d v="2025-09-13T08:13:56"/>
    <s v="Greeting Card"/>
    <n v="4.0599999999999996"/>
  </r>
  <r>
    <s v="ORDER00198"/>
    <x v="2"/>
    <d v="2024-12-21T08:13:56"/>
    <s v="Canvas Print"/>
    <n v="47.53"/>
  </r>
  <r>
    <s v="ORDER00199"/>
    <x v="139"/>
    <d v="2025-07-25T08:13:56"/>
    <s v="Flyer"/>
    <n v="11.09"/>
  </r>
  <r>
    <s v="ORDER00200"/>
    <x v="140"/>
    <d v="2025-08-21T08:13:56"/>
    <s v="Greeting Card"/>
    <n v="5.96"/>
  </r>
  <r>
    <s v="ORDER00201"/>
    <x v="141"/>
    <d v="2025-02-20T08:13:56"/>
    <s v="Business Card"/>
    <n v="11.89"/>
  </r>
  <r>
    <s v="ORDER00202"/>
    <x v="142"/>
    <d v="2025-02-08T08:13:56"/>
    <s v="Flyer"/>
    <n v="10.130000000000001"/>
  </r>
  <r>
    <s v="ORDER00203"/>
    <x v="143"/>
    <d v="2025-02-20T08:13:56"/>
    <s v="Photo Book"/>
    <n v="21.68"/>
  </r>
  <r>
    <s v="ORDER00204"/>
    <x v="144"/>
    <d v="2025-01-19T08:13:56"/>
    <s v="Business Card"/>
    <n v="10.79"/>
  </r>
  <r>
    <s v="ORDER00205"/>
    <x v="26"/>
    <d v="2025-05-05T08:13:56"/>
    <s v="Canvas Print"/>
    <n v="45.42"/>
  </r>
  <r>
    <s v="ORDER00206"/>
    <x v="54"/>
    <d v="2025-02-20T08:13:56"/>
    <s v="Greeting Card"/>
    <n v="4.71"/>
  </r>
  <r>
    <s v="ORDER00207"/>
    <x v="93"/>
    <d v="2024-11-01T08:13:56"/>
    <s v="Photo Book"/>
    <n v="28.27"/>
  </r>
  <r>
    <s v="ORDER00208"/>
    <x v="60"/>
    <d v="2025-03-09T08:13:56"/>
    <s v="Photo Book"/>
    <n v="27.09"/>
  </r>
  <r>
    <s v="ORDER00209"/>
    <x v="91"/>
    <d v="2025-06-07T08:13:56"/>
    <s v="Flyer"/>
    <n v="8.7100000000000009"/>
  </r>
  <r>
    <s v="ORDER00210"/>
    <x v="134"/>
    <d v="2024-12-23T08:13:56"/>
    <s v="Photo Book"/>
    <n v="25.07"/>
  </r>
  <r>
    <s v="ORDER00211"/>
    <x v="29"/>
    <d v="2025-10-08T08:13:56"/>
    <s v="Canvas Print"/>
    <n v="42.84"/>
  </r>
  <r>
    <s v="ORDER00212"/>
    <x v="145"/>
    <d v="2025-06-11T08:13:56"/>
    <s v="Canvas Print"/>
    <n v="35.76"/>
  </r>
  <r>
    <s v="ORDER00213"/>
    <x v="146"/>
    <d v="2025-06-12T08:13:56"/>
    <s v="Poster"/>
    <n v="16.98"/>
  </r>
  <r>
    <s v="ORDER00214"/>
    <x v="33"/>
    <d v="2025-03-05T08:13:56"/>
    <s v="Canvas Print"/>
    <n v="40.72"/>
  </r>
  <r>
    <s v="ORDER00215"/>
    <x v="42"/>
    <d v="2025-03-09T08:13:56"/>
    <s v="Business Card"/>
    <n v="10.39"/>
  </r>
  <r>
    <s v="ORDER00216"/>
    <x v="147"/>
    <d v="2024-12-22T08:13:56"/>
    <s v="Photo Book"/>
    <n v="25.83"/>
  </r>
  <r>
    <s v="ORDER00217"/>
    <x v="31"/>
    <d v="2025-04-20T08:13:56"/>
    <s v="Canvas Print"/>
    <n v="48"/>
  </r>
  <r>
    <s v="ORDER00218"/>
    <x v="99"/>
    <d v="2025-06-05T08:13:56"/>
    <s v="Flyer"/>
    <n v="8.6"/>
  </r>
  <r>
    <s v="ORDER00219"/>
    <x v="148"/>
    <d v="2025-04-08T08:13:56"/>
    <s v="Poster"/>
    <n v="16.899999999999999"/>
  </r>
  <r>
    <s v="ORDER00220"/>
    <x v="149"/>
    <d v="2025-05-16T08:13:56"/>
    <s v="Photo Book"/>
    <n v="22.07"/>
  </r>
  <r>
    <s v="ORDER00221"/>
    <x v="150"/>
    <d v="2025-07-04T08:13:56"/>
    <s v="Poster"/>
    <n v="16.690000000000001"/>
  </r>
  <r>
    <s v="ORDER00222"/>
    <x v="1"/>
    <d v="2025-09-19T08:13:56"/>
    <s v="Photo Book"/>
    <n v="27.35"/>
  </r>
  <r>
    <s v="ORDER00223"/>
    <x v="151"/>
    <d v="2025-05-21T08:13:56"/>
    <s v="Flyer"/>
    <n v="9.1999999999999993"/>
  </r>
  <r>
    <s v="ORDER00224"/>
    <x v="152"/>
    <d v="2025-05-02T08:13:56"/>
    <s v="Poster"/>
    <n v="13.95"/>
  </r>
  <r>
    <s v="ORDER00225"/>
    <x v="153"/>
    <d v="2025-03-02T08:13:56"/>
    <s v="Greeting Card"/>
    <n v="5.59"/>
  </r>
  <r>
    <s v="ORDER00226"/>
    <x v="154"/>
    <d v="2025-07-12T08:13:56"/>
    <s v="Business Card"/>
    <n v="11.81"/>
  </r>
  <r>
    <s v="ORDER00227"/>
    <x v="155"/>
    <d v="2025-08-20T08:13:56"/>
    <s v="Business Card"/>
    <n v="13.11"/>
  </r>
  <r>
    <s v="ORDER00228"/>
    <x v="115"/>
    <d v="2025-08-06T08:13:56"/>
    <s v="Photo Book"/>
    <n v="21.48"/>
  </r>
  <r>
    <s v="ORDER00229"/>
    <x v="156"/>
    <d v="2025-09-20T08:13:56"/>
    <s v="Greeting Card"/>
    <n v="5.71"/>
  </r>
  <r>
    <s v="ORDER00230"/>
    <x v="157"/>
    <d v="2025-02-05T08:13:56"/>
    <s v="Poster"/>
    <n v="16.27"/>
  </r>
  <r>
    <s v="ORDER00231"/>
    <x v="158"/>
    <d v="2025-05-16T08:13:56"/>
    <s v="Greeting Card"/>
    <n v="5.81"/>
  </r>
  <r>
    <s v="ORDER00232"/>
    <x v="159"/>
    <d v="2025-06-27T08:13:56"/>
    <s v="Greeting Card"/>
    <n v="4.26"/>
  </r>
  <r>
    <s v="ORDER00233"/>
    <x v="81"/>
    <d v="2025-03-23T08:13:56"/>
    <s v="Poster"/>
    <n v="15.56"/>
  </r>
  <r>
    <s v="ORDER00234"/>
    <x v="160"/>
    <d v="2025-02-04T08:13:56"/>
    <s v="Flyer"/>
    <n v="10.4"/>
  </r>
  <r>
    <s v="ORDER00235"/>
    <x v="161"/>
    <d v="2025-05-19T08:13:56"/>
    <s v="Greeting Card"/>
    <n v="4.71"/>
  </r>
  <r>
    <s v="ORDER00236"/>
    <x v="162"/>
    <d v="2025-03-03T08:13:56"/>
    <s v="Greeting Card"/>
    <n v="4.92"/>
  </r>
  <r>
    <s v="ORDER00237"/>
    <x v="163"/>
    <d v="2025-05-05T08:13:56"/>
    <s v="Flyer"/>
    <n v="8.15"/>
  </r>
  <r>
    <s v="ORDER00238"/>
    <x v="4"/>
    <d v="2025-09-21T08:13:56"/>
    <s v="Greeting Card"/>
    <n v="5.49"/>
  </r>
  <r>
    <s v="ORDER00239"/>
    <x v="88"/>
    <d v="2025-10-14T08:13:56"/>
    <s v="Greeting Card"/>
    <n v="5.0999999999999996"/>
  </r>
  <r>
    <s v="ORDER00240"/>
    <x v="164"/>
    <d v="2025-07-16T08:13:56"/>
    <s v="Greeting Card"/>
    <n v="4.12"/>
  </r>
  <r>
    <s v="ORDER00241"/>
    <x v="132"/>
    <d v="2025-03-27T08:13:56"/>
    <s v="Business Card"/>
    <n v="12.87"/>
  </r>
  <r>
    <s v="ORDER00242"/>
    <x v="165"/>
    <d v="2025-07-09T08:13:56"/>
    <s v="Canvas Print"/>
    <n v="39.47"/>
  </r>
  <r>
    <s v="ORDER00243"/>
    <x v="166"/>
    <d v="2025-10-11T08:13:56"/>
    <s v="Flyer"/>
    <n v="8.14"/>
  </r>
  <r>
    <s v="ORDER00244"/>
    <x v="167"/>
    <d v="2025-03-26T08:13:56"/>
    <s v="Greeting Card"/>
    <n v="5.94"/>
  </r>
  <r>
    <s v="ORDER00245"/>
    <x v="168"/>
    <d v="2025-03-27T08:13:56"/>
    <s v="Business Card"/>
    <n v="14.16"/>
  </r>
  <r>
    <s v="ORDER00246"/>
    <x v="102"/>
    <d v="2025-10-17T08:13:56"/>
    <s v="Flyer"/>
    <n v="10.050000000000001"/>
  </r>
  <r>
    <s v="ORDER00247"/>
    <x v="124"/>
    <d v="2025-05-17T08:13:56"/>
    <s v="Photo Book"/>
    <n v="20.94"/>
  </r>
  <r>
    <s v="ORDER00248"/>
    <x v="147"/>
    <d v="2025-09-03T08:13:56"/>
    <s v="Photo Book"/>
    <n v="27.55"/>
  </r>
  <r>
    <s v="ORDER00249"/>
    <x v="169"/>
    <d v="2025-03-07T08:13:56"/>
    <s v="Greeting Card"/>
    <n v="4.9800000000000004"/>
  </r>
  <r>
    <s v="ORDER00250"/>
    <x v="121"/>
    <d v="2024-12-08T08:13:56"/>
    <s v="Business Card"/>
    <n v="11.05"/>
  </r>
  <r>
    <s v="ORDER00251"/>
    <x v="110"/>
    <d v="2025-10-03T08:13:56"/>
    <s v="Business Card"/>
    <n v="11.96"/>
  </r>
  <r>
    <s v="ORDER00252"/>
    <x v="120"/>
    <d v="2025-10-25T08:13:56"/>
    <s v="Flyer"/>
    <n v="10.09"/>
  </r>
  <r>
    <s v="ORDER00253"/>
    <x v="170"/>
    <d v="2025-03-08T08:13:56"/>
    <s v="Flyer"/>
    <n v="10.25"/>
  </r>
  <r>
    <s v="ORDER00254"/>
    <x v="74"/>
    <d v="2025-07-24T08:13:56"/>
    <s v="Business Card"/>
    <n v="11.72"/>
  </r>
  <r>
    <s v="ORDER00255"/>
    <x v="170"/>
    <d v="2025-03-30T08:13:56"/>
    <s v="Flyer"/>
    <n v="10.42"/>
  </r>
  <r>
    <s v="ORDER00256"/>
    <x v="41"/>
    <d v="2025-08-24T08:13:56"/>
    <s v="Business Card"/>
    <n v="14.01"/>
  </r>
  <r>
    <s v="ORDER00257"/>
    <x v="171"/>
    <d v="2025-02-06T08:13:56"/>
    <s v="Canvas Print"/>
    <n v="37.799999999999997"/>
  </r>
  <r>
    <s v="ORDER00258"/>
    <x v="172"/>
    <d v="2025-07-20T08:13:56"/>
    <s v="Business Card"/>
    <n v="13.08"/>
  </r>
  <r>
    <s v="ORDER00259"/>
    <x v="37"/>
    <d v="2025-07-09T08:13:56"/>
    <s v="Photo Book"/>
    <n v="28.94"/>
  </r>
  <r>
    <s v="ORDER00260"/>
    <x v="173"/>
    <d v="2025-03-23T08:13:56"/>
    <s v="Flyer"/>
    <n v="9.82"/>
  </r>
  <r>
    <s v="ORDER00261"/>
    <x v="174"/>
    <d v="2025-10-11T08:13:56"/>
    <s v="Business Card"/>
    <n v="11.73"/>
  </r>
  <r>
    <s v="ORDER00262"/>
    <x v="175"/>
    <d v="2025-02-19T08:13:56"/>
    <s v="Business Card"/>
    <n v="12.49"/>
  </r>
  <r>
    <s v="ORDER00263"/>
    <x v="176"/>
    <d v="2024-12-29T08:13:56"/>
    <s v="Flyer"/>
    <n v="10.37"/>
  </r>
  <r>
    <s v="ORDER00264"/>
    <x v="177"/>
    <d v="2024-11-01T08:13:56"/>
    <s v="Canvas Print"/>
    <n v="44.91"/>
  </r>
  <r>
    <s v="ORDER00265"/>
    <x v="178"/>
    <d v="2025-08-30T08:13:56"/>
    <s v="Canvas Print"/>
    <n v="39.619999999999997"/>
  </r>
  <r>
    <s v="ORDER00266"/>
    <x v="104"/>
    <d v="2025-07-11T08:13:56"/>
    <s v="Flyer"/>
    <n v="11.98"/>
  </r>
  <r>
    <s v="ORDER00267"/>
    <x v="94"/>
    <d v="2025-03-19T08:13:56"/>
    <s v="Poster"/>
    <n v="12.36"/>
  </r>
  <r>
    <s v="ORDER00268"/>
    <x v="179"/>
    <d v="2024-12-06T08:13:56"/>
    <s v="Flyer"/>
    <n v="8.01"/>
  </r>
  <r>
    <s v="ORDER00269"/>
    <x v="180"/>
    <d v="2025-04-08T08:13:56"/>
    <s v="Flyer"/>
    <n v="10.56"/>
  </r>
  <r>
    <s v="ORDER00270"/>
    <x v="121"/>
    <d v="2024-11-08T08:13:56"/>
    <s v="Canvas Print"/>
    <n v="36.770000000000003"/>
  </r>
  <r>
    <s v="ORDER00271"/>
    <x v="88"/>
    <d v="2025-06-20T08:13:56"/>
    <s v="Canvas Print"/>
    <n v="35.85"/>
  </r>
  <r>
    <s v="ORDER00272"/>
    <x v="108"/>
    <d v="2025-02-06T08:13:56"/>
    <s v="Flyer"/>
    <n v="9.25"/>
  </r>
  <r>
    <s v="ORDER00273"/>
    <x v="181"/>
    <d v="2025-03-26T08:13:56"/>
    <s v="Flyer"/>
    <n v="9.02"/>
  </r>
  <r>
    <s v="ORDER00274"/>
    <x v="110"/>
    <d v="2025-08-30T08:13:56"/>
    <s v="Flyer"/>
    <n v="8.1199999999999992"/>
  </r>
  <r>
    <s v="ORDER00275"/>
    <x v="38"/>
    <d v="2025-05-26T08:13:56"/>
    <s v="Canvas Print"/>
    <n v="47.54"/>
  </r>
  <r>
    <s v="ORDER00276"/>
    <x v="182"/>
    <d v="2025-03-10T08:13:56"/>
    <s v="Flyer"/>
    <n v="8.8800000000000008"/>
  </r>
  <r>
    <s v="ORDER00277"/>
    <x v="183"/>
    <d v="2025-03-31T08:13:56"/>
    <s v="Flyer"/>
    <n v="10.94"/>
  </r>
  <r>
    <s v="ORDER00278"/>
    <x v="109"/>
    <d v="2024-12-23T08:13:56"/>
    <s v="Greeting Card"/>
    <n v="5.53"/>
  </r>
  <r>
    <s v="ORDER00279"/>
    <x v="31"/>
    <d v="2025-02-27T08:13:56"/>
    <s v="Poster"/>
    <n v="17.579999999999998"/>
  </r>
  <r>
    <s v="ORDER00280"/>
    <x v="48"/>
    <d v="2025-04-09T08:13:56"/>
    <s v="Photo Book"/>
    <n v="20.309999999999999"/>
  </r>
  <r>
    <s v="ORDER00281"/>
    <x v="20"/>
    <d v="2025-02-23T08:13:56"/>
    <s v="Poster"/>
    <n v="17.23"/>
  </r>
  <r>
    <s v="ORDER00282"/>
    <x v="138"/>
    <d v="2025-01-13T08:13:56"/>
    <s v="Greeting Card"/>
    <n v="5.05"/>
  </r>
  <r>
    <s v="ORDER00283"/>
    <x v="103"/>
    <d v="2025-02-20T08:13:56"/>
    <s v="Photo Book"/>
    <n v="26.33"/>
  </r>
  <r>
    <s v="ORDER00284"/>
    <x v="184"/>
    <d v="2025-02-11T08:13:56"/>
    <s v="Flyer"/>
    <n v="10.58"/>
  </r>
  <r>
    <s v="ORDER00285"/>
    <x v="92"/>
    <d v="2025-10-05T08:13:56"/>
    <s v="Greeting Card"/>
    <n v="5.64"/>
  </r>
  <r>
    <s v="ORDER00286"/>
    <x v="53"/>
    <d v="2025-07-11T08:13:56"/>
    <s v="Flyer"/>
    <n v="9.33"/>
  </r>
  <r>
    <s v="ORDER00287"/>
    <x v="185"/>
    <d v="2025-06-14T08:13:56"/>
    <s v="Canvas Print"/>
    <n v="43.73"/>
  </r>
  <r>
    <s v="ORDER00288"/>
    <x v="8"/>
    <d v="2025-02-19T08:13:56"/>
    <s v="Business Card"/>
    <n v="12.14"/>
  </r>
  <r>
    <s v="ORDER00289"/>
    <x v="180"/>
    <d v="2025-02-06T08:13:56"/>
    <s v="Greeting Card"/>
    <n v="5.59"/>
  </r>
  <r>
    <s v="ORDER00290"/>
    <x v="186"/>
    <d v="2025-04-01T08:13:56"/>
    <s v="Canvas Print"/>
    <n v="47.85"/>
  </r>
  <r>
    <s v="ORDER00291"/>
    <x v="37"/>
    <d v="2025-10-14T08:13:56"/>
    <s v="Greeting Card"/>
    <n v="4.4000000000000004"/>
  </r>
  <r>
    <s v="ORDER00292"/>
    <x v="73"/>
    <d v="2025-10-03T08:13:56"/>
    <s v="Greeting Card"/>
    <n v="5.99"/>
  </r>
  <r>
    <s v="ORDER00293"/>
    <x v="187"/>
    <d v="2025-05-12T08:13:56"/>
    <s v="Canvas Print"/>
    <n v="33.44"/>
  </r>
  <r>
    <s v="ORDER00294"/>
    <x v="188"/>
    <d v="2025-09-05T08:13:56"/>
    <s v="Photo Book"/>
    <n v="20.02"/>
  </r>
  <r>
    <s v="ORDER00295"/>
    <x v="189"/>
    <d v="2025-04-11T08:13:56"/>
    <s v="Poster"/>
    <n v="12.26"/>
  </r>
  <r>
    <s v="ORDER00296"/>
    <x v="190"/>
    <d v="2025-05-26T08:13:56"/>
    <s v="Flyer"/>
    <n v="9.3699999999999992"/>
  </r>
  <r>
    <s v="ORDER00297"/>
    <x v="9"/>
    <d v="2025-04-17T08:13:56"/>
    <s v="Greeting Card"/>
    <n v="5.27"/>
  </r>
  <r>
    <s v="ORDER00298"/>
    <x v="191"/>
    <d v="2025-04-09T08:13:56"/>
    <s v="Flyer"/>
    <n v="8.2799999999999994"/>
  </r>
  <r>
    <s v="ORDER00299"/>
    <x v="192"/>
    <d v="2025-01-06T08:13:56"/>
    <s v="Business Card"/>
    <n v="9.6300000000000008"/>
  </r>
  <r>
    <s v="ORDER00300"/>
    <x v="76"/>
    <d v="2025-08-15T08:13:56"/>
    <s v="Canvas Print"/>
    <n v="46.99"/>
  </r>
  <r>
    <s v="ORDER00301"/>
    <x v="77"/>
    <d v="2025-08-03T08:13:56"/>
    <s v="Flyer"/>
    <n v="11.29"/>
  </r>
  <r>
    <s v="ORDER00302"/>
    <x v="94"/>
    <d v="2025-08-30T08:13:56"/>
    <s v="Canvas Print"/>
    <n v="44.95"/>
  </r>
  <r>
    <s v="ORDER00303"/>
    <x v="101"/>
    <d v="2025-03-14T08:13:56"/>
    <s v="Flyer"/>
    <n v="11.54"/>
  </r>
  <r>
    <s v="ORDER00304"/>
    <x v="25"/>
    <d v="2025-05-13T08:13:56"/>
    <s v="Poster"/>
    <n v="16.2"/>
  </r>
  <r>
    <s v="ORDER00305"/>
    <x v="23"/>
    <d v="2025-03-07T08:13:56"/>
    <s v="Poster"/>
    <n v="12.63"/>
  </r>
  <r>
    <s v="ORDER00306"/>
    <x v="81"/>
    <d v="2024-12-02T08:13:56"/>
    <s v="Poster"/>
    <n v="14.39"/>
  </r>
  <r>
    <s v="ORDER00307"/>
    <x v="193"/>
    <d v="2025-04-24T08:13:56"/>
    <s v="Poster"/>
    <n v="16.34"/>
  </r>
  <r>
    <s v="ORDER00308"/>
    <x v="130"/>
    <d v="2024-11-21T08:13:56"/>
    <s v="Poster"/>
    <n v="13.68"/>
  </r>
  <r>
    <s v="ORDER00309"/>
    <x v="194"/>
    <d v="2025-06-25T08:13:56"/>
    <s v="Poster"/>
    <n v="16.12"/>
  </r>
  <r>
    <s v="ORDER00310"/>
    <x v="39"/>
    <d v="2025-04-06T08:13:56"/>
    <s v="Canvas Print"/>
    <n v="32.39"/>
  </r>
  <r>
    <s v="ORDER00311"/>
    <x v="195"/>
    <d v="2024-12-07T08:13:56"/>
    <s v="Greeting Card"/>
    <n v="4.6100000000000003"/>
  </r>
  <r>
    <s v="ORDER00312"/>
    <x v="196"/>
    <d v="2025-06-17T08:13:56"/>
    <s v="Flyer"/>
    <n v="10.199999999999999"/>
  </r>
  <r>
    <s v="ORDER00313"/>
    <x v="180"/>
    <d v="2025-10-30T08:13:56"/>
    <s v="Poster"/>
    <n v="15.79"/>
  </r>
  <r>
    <s v="ORDER00314"/>
    <x v="100"/>
    <d v="2024-12-20T08:13:56"/>
    <s v="Canvas Print"/>
    <n v="41.23"/>
  </r>
  <r>
    <s v="ORDER00315"/>
    <x v="56"/>
    <d v="2025-07-21T08:13:56"/>
    <s v="Canvas Print"/>
    <n v="43.16"/>
  </r>
  <r>
    <s v="ORDER00316"/>
    <x v="112"/>
    <d v="2025-08-09T08:13:56"/>
    <s v="Canvas Print"/>
    <n v="32.1"/>
  </r>
  <r>
    <s v="ORDER00317"/>
    <x v="175"/>
    <d v="2024-11-26T08:13:56"/>
    <s v="Greeting Card"/>
    <n v="4.2"/>
  </r>
  <r>
    <s v="ORDER00318"/>
    <x v="17"/>
    <d v="2025-06-13T08:13:56"/>
    <s v="Flyer"/>
    <n v="11.48"/>
  </r>
  <r>
    <s v="ORDER00319"/>
    <x v="58"/>
    <d v="2025-08-03T08:13:56"/>
    <s v="Greeting Card"/>
    <n v="5.36"/>
  </r>
  <r>
    <s v="ORDER00320"/>
    <x v="197"/>
    <d v="2025-08-12T08:13:56"/>
    <s v="Photo Book"/>
    <n v="21.13"/>
  </r>
  <r>
    <s v="ORDER00321"/>
    <x v="155"/>
    <d v="2025-02-04T08:13:56"/>
    <s v="Canvas Print"/>
    <n v="45.47"/>
  </r>
  <r>
    <s v="ORDER00322"/>
    <x v="144"/>
    <d v="2025-08-10T08:13:56"/>
    <s v="Photo Book"/>
    <n v="22.42"/>
  </r>
  <r>
    <s v="ORDER00323"/>
    <x v="80"/>
    <d v="2025-09-12T08:13:56"/>
    <s v="Business Card"/>
    <n v="11.9"/>
  </r>
  <r>
    <s v="ORDER00324"/>
    <x v="196"/>
    <d v="2025-08-30T08:13:56"/>
    <s v="Poster"/>
    <n v="12.87"/>
  </r>
  <r>
    <s v="ORDER00325"/>
    <x v="105"/>
    <d v="2025-03-26T08:13:56"/>
    <s v="Poster"/>
    <n v="16.260000000000002"/>
  </r>
  <r>
    <s v="ORDER00326"/>
    <x v="174"/>
    <d v="2024-11-03T08:13:56"/>
    <s v="Greeting Card"/>
    <n v="5.33"/>
  </r>
  <r>
    <s v="ORDER00327"/>
    <x v="104"/>
    <d v="2024-12-04T08:13:56"/>
    <s v="Flyer"/>
    <n v="8.84"/>
  </r>
  <r>
    <s v="ORDER00328"/>
    <x v="198"/>
    <d v="2025-05-10T08:13:56"/>
    <s v="Photo Book"/>
    <n v="28.63"/>
  </r>
  <r>
    <s v="ORDER00329"/>
    <x v="174"/>
    <d v="2024-12-18T08:13:56"/>
    <s v="Flyer"/>
    <n v="9.61"/>
  </r>
  <r>
    <s v="ORDER00330"/>
    <x v="23"/>
    <d v="2024-11-16T08:13:56"/>
    <s v="Greeting Card"/>
    <n v="4.59"/>
  </r>
  <r>
    <s v="ORDER00331"/>
    <x v="109"/>
    <d v="2025-04-20T08:13:56"/>
    <s v="Poster"/>
    <n v="12.91"/>
  </r>
  <r>
    <s v="ORDER00332"/>
    <x v="199"/>
    <d v="2025-06-07T08:13:56"/>
    <s v="Flyer"/>
    <n v="9.06"/>
  </r>
  <r>
    <s v="ORDER00333"/>
    <x v="200"/>
    <d v="2025-04-06T08:13:56"/>
    <s v="Flyer"/>
    <n v="8.09"/>
  </r>
  <r>
    <s v="ORDER00334"/>
    <x v="201"/>
    <d v="2024-12-15T08:13:56"/>
    <s v="Poster"/>
    <n v="15.5"/>
  </r>
  <r>
    <s v="ORDER00335"/>
    <x v="40"/>
    <d v="2024-11-05T08:13:56"/>
    <s v="Photo Book"/>
    <n v="28.42"/>
  </r>
  <r>
    <s v="ORDER00336"/>
    <x v="38"/>
    <d v="2025-02-06T08:13:56"/>
    <s v="Poster"/>
    <n v="15.29"/>
  </r>
  <r>
    <s v="ORDER00337"/>
    <x v="106"/>
    <d v="2025-06-20T08:13:56"/>
    <s v="Flyer"/>
    <n v="8.8800000000000008"/>
  </r>
  <r>
    <s v="ORDER00338"/>
    <x v="51"/>
    <d v="2024-12-06T08:13:56"/>
    <s v="Photo Book"/>
    <n v="20.34"/>
  </r>
  <r>
    <s v="ORDER00339"/>
    <x v="29"/>
    <d v="2025-08-06T08:13:56"/>
    <s v="Photo Book"/>
    <n v="22.15"/>
  </r>
  <r>
    <s v="ORDER00340"/>
    <x v="135"/>
    <d v="2025-10-14T08:13:56"/>
    <s v="Poster"/>
    <n v="14.5"/>
  </r>
  <r>
    <s v="ORDER00341"/>
    <x v="26"/>
    <d v="2025-08-28T08:13:56"/>
    <s v="Flyer"/>
    <n v="11.04"/>
  </r>
  <r>
    <s v="ORDER00342"/>
    <x v="202"/>
    <d v="2025-04-29T08:13:56"/>
    <s v="Greeting Card"/>
    <n v="4.38"/>
  </r>
  <r>
    <s v="ORDER00343"/>
    <x v="6"/>
    <d v="2025-02-02T08:13:56"/>
    <s v="Flyer"/>
    <n v="10.88"/>
  </r>
  <r>
    <s v="ORDER00344"/>
    <x v="203"/>
    <d v="2025-02-06T08:13:56"/>
    <s v="Canvas Print"/>
    <n v="45.87"/>
  </r>
  <r>
    <s v="ORDER00345"/>
    <x v="204"/>
    <d v="2025-05-06T08:13:56"/>
    <s v="Business Card"/>
    <n v="11.78"/>
  </r>
  <r>
    <s v="ORDER00346"/>
    <x v="205"/>
    <d v="2025-02-23T08:13:56"/>
    <s v="Greeting Card"/>
    <n v="5.64"/>
  </r>
  <r>
    <s v="ORDER00347"/>
    <x v="11"/>
    <d v="2025-05-09T08:13:56"/>
    <s v="Photo Book"/>
    <n v="25.55"/>
  </r>
  <r>
    <s v="ORDER00348"/>
    <x v="206"/>
    <d v="2025-07-10T08:13:56"/>
    <s v="Greeting Card"/>
    <n v="5.27"/>
  </r>
  <r>
    <s v="ORDER00349"/>
    <x v="109"/>
    <d v="2025-04-09T08:13:56"/>
    <s v="Photo Book"/>
    <n v="25.26"/>
  </r>
  <r>
    <s v="ORDER00350"/>
    <x v="207"/>
    <d v="2025-07-13T08:13:56"/>
    <s v="Photo Book"/>
    <n v="24.63"/>
  </r>
  <r>
    <s v="ORDER00351"/>
    <x v="204"/>
    <d v="2025-09-18T08:13:56"/>
    <s v="Greeting Card"/>
    <n v="4.47"/>
  </r>
  <r>
    <s v="ORDER00352"/>
    <x v="208"/>
    <d v="2025-03-07T08:13:56"/>
    <s v="Photo Book"/>
    <n v="23.03"/>
  </r>
  <r>
    <s v="ORDER00353"/>
    <x v="69"/>
    <d v="2024-11-17T08:13:56"/>
    <s v="Photo Book"/>
    <n v="22.9"/>
  </r>
  <r>
    <s v="ORDER00354"/>
    <x v="134"/>
    <d v="2025-08-07T08:13:56"/>
    <s v="Canvas Print"/>
    <n v="41.01"/>
  </r>
  <r>
    <s v="ORDER00355"/>
    <x v="101"/>
    <d v="2025-06-10T08:13:56"/>
    <s v="Flyer"/>
    <n v="8.48"/>
  </r>
  <r>
    <s v="ORDER00356"/>
    <x v="168"/>
    <d v="2024-12-23T08:13:56"/>
    <s v="Flyer"/>
    <n v="11.67"/>
  </r>
  <r>
    <s v="ORDER00357"/>
    <x v="121"/>
    <d v="2024-12-27T08:13:56"/>
    <s v="Business Card"/>
    <n v="13.06"/>
  </r>
  <r>
    <s v="ORDER00358"/>
    <x v="52"/>
    <d v="2025-09-18T08:13:56"/>
    <s v="Business Card"/>
    <n v="11.53"/>
  </r>
  <r>
    <s v="ORDER00359"/>
    <x v="82"/>
    <d v="2025-10-25T08:13:56"/>
    <s v="Canvas Print"/>
    <n v="34.54"/>
  </r>
  <r>
    <s v="ORDER00360"/>
    <x v="106"/>
    <d v="2025-04-22T08:13:56"/>
    <s v="Business Card"/>
    <n v="13.83"/>
  </r>
  <r>
    <s v="ORDER00361"/>
    <x v="36"/>
    <d v="2025-08-06T08:13:56"/>
    <s v="Greeting Card"/>
    <n v="5.65"/>
  </r>
  <r>
    <s v="ORDER00362"/>
    <x v="186"/>
    <d v="2025-02-21T08:13:56"/>
    <s v="Poster"/>
    <n v="16.329999999999998"/>
  </r>
  <r>
    <s v="ORDER00363"/>
    <x v="47"/>
    <d v="2025-08-14T08:13:56"/>
    <s v="Poster"/>
    <n v="13.63"/>
  </r>
  <r>
    <s v="ORDER00364"/>
    <x v="169"/>
    <d v="2025-10-07T08:13:56"/>
    <s v="Poster"/>
    <n v="14.41"/>
  </r>
  <r>
    <s v="ORDER00365"/>
    <x v="209"/>
    <d v="2025-03-30T08:13:56"/>
    <s v="Canvas Print"/>
    <n v="33.64"/>
  </r>
  <r>
    <s v="ORDER00366"/>
    <x v="72"/>
    <d v="2025-03-06T08:13:56"/>
    <s v="Canvas Print"/>
    <n v="35.020000000000003"/>
  </r>
  <r>
    <s v="ORDER00367"/>
    <x v="42"/>
    <d v="2025-04-03T08:13:56"/>
    <s v="Photo Book"/>
    <n v="27.83"/>
  </r>
  <r>
    <s v="ORDER00368"/>
    <x v="136"/>
    <d v="2025-07-30T08:13:56"/>
    <s v="Poster"/>
    <n v="16.29"/>
  </r>
  <r>
    <s v="ORDER00369"/>
    <x v="210"/>
    <d v="2025-02-11T08:13:56"/>
    <s v="Greeting Card"/>
    <n v="5.19"/>
  </r>
  <r>
    <s v="ORDER00370"/>
    <x v="211"/>
    <d v="2025-08-25T08:13:56"/>
    <s v="Business Card"/>
    <n v="13.9"/>
  </r>
  <r>
    <s v="ORDER00371"/>
    <x v="77"/>
    <d v="2025-07-03T08:13:56"/>
    <s v="Greeting Card"/>
    <n v="5.17"/>
  </r>
  <r>
    <s v="ORDER00372"/>
    <x v="63"/>
    <d v="2025-04-24T08:13:56"/>
    <s v="Business Card"/>
    <n v="11.84"/>
  </r>
  <r>
    <s v="ORDER00373"/>
    <x v="197"/>
    <d v="2024-12-08T08:13:56"/>
    <s v="Poster"/>
    <n v="14.04"/>
  </r>
  <r>
    <s v="ORDER00374"/>
    <x v="27"/>
    <d v="2025-04-18T08:13:56"/>
    <s v="Poster"/>
    <n v="17.64"/>
  </r>
  <r>
    <s v="ORDER00375"/>
    <x v="103"/>
    <d v="2025-07-04T08:13:56"/>
    <s v="Poster"/>
    <n v="12.5"/>
  </r>
  <r>
    <s v="ORDER00376"/>
    <x v="149"/>
    <d v="2024-11-25T08:13:56"/>
    <s v="Canvas Print"/>
    <n v="46.89"/>
  </r>
  <r>
    <s v="ORDER00377"/>
    <x v="19"/>
    <d v="2025-10-20T08:13:56"/>
    <s v="Business Card"/>
    <n v="13.57"/>
  </r>
  <r>
    <s v="ORDER00378"/>
    <x v="212"/>
    <d v="2025-09-01T08:13:56"/>
    <s v="Canvas Print"/>
    <n v="34.08"/>
  </r>
  <r>
    <s v="ORDER00379"/>
    <x v="121"/>
    <d v="2024-11-12T08:13:56"/>
    <s v="Canvas Print"/>
    <n v="41.04"/>
  </r>
  <r>
    <s v="ORDER00380"/>
    <x v="157"/>
    <d v="2025-09-11T08:13:56"/>
    <s v="Flyer"/>
    <n v="11.47"/>
  </r>
  <r>
    <s v="ORDER00381"/>
    <x v="148"/>
    <d v="2025-09-08T08:13:56"/>
    <s v="Greeting Card"/>
    <n v="5.14"/>
  </r>
  <r>
    <s v="ORDER00382"/>
    <x v="213"/>
    <d v="2024-12-05T08:13:56"/>
    <s v="Greeting Card"/>
    <n v="5.81"/>
  </r>
  <r>
    <s v="ORDER00383"/>
    <x v="12"/>
    <d v="2025-04-21T08:13:56"/>
    <s v="Photo Book"/>
    <n v="29.43"/>
  </r>
  <r>
    <s v="ORDER00384"/>
    <x v="41"/>
    <d v="2024-11-19T08:13:56"/>
    <s v="Canvas Print"/>
    <n v="38.76"/>
  </r>
  <r>
    <s v="ORDER00385"/>
    <x v="67"/>
    <d v="2025-09-16T08:13:56"/>
    <s v="Business Card"/>
    <n v="11.41"/>
  </r>
  <r>
    <s v="ORDER00386"/>
    <x v="112"/>
    <d v="2025-07-21T08:13:56"/>
    <s v="Flyer"/>
    <n v="11.75"/>
  </r>
  <r>
    <s v="ORDER00387"/>
    <x v="202"/>
    <d v="2025-03-21T08:13:56"/>
    <s v="Flyer"/>
    <n v="10.7"/>
  </r>
  <r>
    <s v="ORDER00388"/>
    <x v="156"/>
    <d v="2025-03-22T08:13:56"/>
    <s v="Greeting Card"/>
    <n v="4.2300000000000004"/>
  </r>
  <r>
    <s v="ORDER00389"/>
    <x v="180"/>
    <d v="2025-01-30T08:13:56"/>
    <s v="Canvas Print"/>
    <n v="32.68"/>
  </r>
  <r>
    <s v="ORDER00390"/>
    <x v="135"/>
    <d v="2025-10-19T08:13:56"/>
    <s v="Photo Book"/>
    <n v="25.65"/>
  </r>
  <r>
    <s v="ORDER00391"/>
    <x v="88"/>
    <d v="2025-09-17T08:13:56"/>
    <s v="Canvas Print"/>
    <n v="46.88"/>
  </r>
  <r>
    <s v="ORDER00392"/>
    <x v="86"/>
    <d v="2025-08-14T08:13:56"/>
    <s v="Poster"/>
    <n v="17.07"/>
  </r>
  <r>
    <s v="ORDER00393"/>
    <x v="214"/>
    <d v="2025-06-02T08:13:56"/>
    <s v="Canvas Print"/>
    <n v="42.81"/>
  </r>
  <r>
    <s v="ORDER00394"/>
    <x v="51"/>
    <d v="2025-10-07T08:13:56"/>
    <s v="Poster"/>
    <n v="12.83"/>
  </r>
  <r>
    <s v="ORDER00395"/>
    <x v="55"/>
    <d v="2024-12-20T08:13:56"/>
    <s v="Poster"/>
    <n v="13.53"/>
  </r>
  <r>
    <s v="ORDER00396"/>
    <x v="178"/>
    <d v="2025-04-01T08:13:56"/>
    <s v="Photo Book"/>
    <n v="28.76"/>
  </r>
  <r>
    <s v="ORDER00397"/>
    <x v="85"/>
    <d v="2025-05-04T08:13:56"/>
    <s v="Business Card"/>
    <n v="10.48"/>
  </r>
  <r>
    <s v="ORDER00398"/>
    <x v="1"/>
    <d v="2025-01-01T08:13:56"/>
    <s v="Greeting Card"/>
    <n v="4.5599999999999996"/>
  </r>
  <r>
    <s v="ORDER00399"/>
    <x v="210"/>
    <d v="2025-05-08T08:13:56"/>
    <s v="Canvas Print"/>
    <n v="34.07"/>
  </r>
  <r>
    <s v="ORDER00400"/>
    <x v="202"/>
    <d v="2025-03-04T08:13:56"/>
    <s v="Poster"/>
    <n v="16.059999999999999"/>
  </r>
  <r>
    <s v="ORDER00401"/>
    <x v="196"/>
    <d v="2025-03-29T08:13:56"/>
    <s v="Canvas Print"/>
    <n v="47.1"/>
  </r>
  <r>
    <s v="ORDER00402"/>
    <x v="215"/>
    <d v="2025-09-09T08:13:56"/>
    <s v="Business Card"/>
    <n v="10.89"/>
  </r>
  <r>
    <s v="ORDER00403"/>
    <x v="183"/>
    <d v="2024-12-27T08:13:56"/>
    <s v="Greeting Card"/>
    <n v="4.95"/>
  </r>
  <r>
    <s v="ORDER00404"/>
    <x v="111"/>
    <d v="2025-10-07T08:13:56"/>
    <s v="Business Card"/>
    <n v="12.64"/>
  </r>
  <r>
    <s v="ORDER00405"/>
    <x v="140"/>
    <d v="2025-08-31T08:13:56"/>
    <s v="Greeting Card"/>
    <n v="6"/>
  </r>
  <r>
    <s v="ORDER00406"/>
    <x v="216"/>
    <d v="2025-04-28T08:13:56"/>
    <s v="Flyer"/>
    <n v="8.42"/>
  </r>
  <r>
    <s v="ORDER00407"/>
    <x v="84"/>
    <d v="2025-04-18T08:13:56"/>
    <s v="Greeting Card"/>
    <n v="5"/>
  </r>
  <r>
    <s v="ORDER00408"/>
    <x v="217"/>
    <d v="2025-09-21T08:13:56"/>
    <s v="Photo Book"/>
    <n v="23.85"/>
  </r>
  <r>
    <s v="ORDER00409"/>
    <x v="145"/>
    <d v="2025-07-28T08:13:56"/>
    <s v="Business Card"/>
    <n v="13.76"/>
  </r>
  <r>
    <s v="ORDER00410"/>
    <x v="196"/>
    <d v="2024-12-23T08:13:56"/>
    <s v="Poster"/>
    <n v="14.86"/>
  </r>
  <r>
    <s v="ORDER00411"/>
    <x v="51"/>
    <d v="2025-02-08T08:13:56"/>
    <s v="Flyer"/>
    <n v="8.44"/>
  </r>
  <r>
    <s v="ORDER00412"/>
    <x v="94"/>
    <d v="2025-07-21T08:13:56"/>
    <s v="Photo Book"/>
    <n v="26.34"/>
  </r>
  <r>
    <s v="ORDER00413"/>
    <x v="218"/>
    <d v="2024-12-22T08:13:56"/>
    <s v="Canvas Print"/>
    <n v="44.33"/>
  </r>
  <r>
    <s v="ORDER00414"/>
    <x v="18"/>
    <d v="2024-12-29T08:13:56"/>
    <s v="Business Card"/>
    <n v="9.61"/>
  </r>
  <r>
    <s v="ORDER00415"/>
    <x v="219"/>
    <d v="2025-02-15T08:13:56"/>
    <s v="Poster"/>
    <n v="17.149999999999999"/>
  </r>
  <r>
    <s v="ORDER00416"/>
    <x v="220"/>
    <d v="2024-11-04T08:13:56"/>
    <s v="Greeting Card"/>
    <n v="4.37"/>
  </r>
  <r>
    <s v="ORDER00417"/>
    <x v="18"/>
    <d v="2025-02-10T08:13:56"/>
    <s v="Poster"/>
    <n v="15.31"/>
  </r>
  <r>
    <s v="ORDER00418"/>
    <x v="144"/>
    <d v="2025-05-14T08:13:56"/>
    <s v="Canvas Print"/>
    <n v="38.65"/>
  </r>
  <r>
    <s v="ORDER00419"/>
    <x v="136"/>
    <d v="2025-07-19T08:13:56"/>
    <s v="Flyer"/>
    <n v="10.88"/>
  </r>
  <r>
    <s v="ORDER00420"/>
    <x v="221"/>
    <d v="2025-10-30T08:13:56"/>
    <s v="Flyer"/>
    <n v="9.48"/>
  </r>
  <r>
    <s v="ORDER00421"/>
    <x v="114"/>
    <d v="2025-10-15T08:13:56"/>
    <s v="Business Card"/>
    <n v="13.77"/>
  </r>
  <r>
    <s v="ORDER00422"/>
    <x v="222"/>
    <d v="2024-12-16T08:13:56"/>
    <s v="Flyer"/>
    <n v="10.92"/>
  </r>
  <r>
    <s v="ORDER00423"/>
    <x v="223"/>
    <d v="2025-10-20T08:13:56"/>
    <s v="Business Card"/>
    <n v="12.71"/>
  </r>
  <r>
    <s v="ORDER00424"/>
    <x v="124"/>
    <d v="2025-09-06T08:13:56"/>
    <s v="Business Card"/>
    <n v="13.42"/>
  </r>
  <r>
    <s v="ORDER00425"/>
    <x v="181"/>
    <d v="2025-09-03T08:13:56"/>
    <s v="Business Card"/>
    <n v="13.22"/>
  </r>
  <r>
    <s v="ORDER00426"/>
    <x v="88"/>
    <d v="2025-03-23T08:13:56"/>
    <s v="Greeting Card"/>
    <n v="4.07"/>
  </r>
  <r>
    <s v="ORDER00427"/>
    <x v="48"/>
    <d v="2025-07-26T08:13:56"/>
    <s v="Photo Book"/>
    <n v="23.95"/>
  </r>
  <r>
    <s v="ORDER00428"/>
    <x v="191"/>
    <d v="2025-03-03T08:13:56"/>
    <s v="Business Card"/>
    <n v="14.07"/>
  </r>
  <r>
    <s v="ORDER00429"/>
    <x v="198"/>
    <d v="2025-02-13T08:13:56"/>
    <s v="Business Card"/>
    <n v="10.199999999999999"/>
  </r>
  <r>
    <s v="ORDER00430"/>
    <x v="224"/>
    <d v="2025-04-06T08:13:56"/>
    <s v="Photo Book"/>
    <n v="27.37"/>
  </r>
  <r>
    <s v="ORDER00431"/>
    <x v="194"/>
    <d v="2025-03-26T08:13:56"/>
    <s v="Poster"/>
    <n v="17.850000000000001"/>
  </r>
  <r>
    <s v="ORDER00432"/>
    <x v="88"/>
    <d v="2025-03-24T08:13:56"/>
    <s v="Business Card"/>
    <n v="9.85"/>
  </r>
  <r>
    <s v="ORDER00433"/>
    <x v="201"/>
    <d v="2025-02-27T08:13:56"/>
    <s v="Greeting Card"/>
    <n v="5.36"/>
  </r>
  <r>
    <s v="ORDER00434"/>
    <x v="52"/>
    <d v="2025-09-14T08:13:56"/>
    <s v="Flyer"/>
    <n v="9.8699999999999992"/>
  </r>
  <r>
    <s v="ORDER00435"/>
    <x v="39"/>
    <d v="2025-08-01T08:13:56"/>
    <s v="Flyer"/>
    <n v="10.32"/>
  </r>
  <r>
    <s v="ORDER00436"/>
    <x v="81"/>
    <d v="2025-01-30T08:13:56"/>
    <s v="Canvas Print"/>
    <n v="33.369999999999997"/>
  </r>
  <r>
    <s v="ORDER00437"/>
    <x v="34"/>
    <d v="2024-12-27T08:13:56"/>
    <s v="Canvas Print"/>
    <n v="32.69"/>
  </r>
  <r>
    <s v="ORDER00438"/>
    <x v="165"/>
    <d v="2025-10-11T08:13:56"/>
    <s v="Flyer"/>
    <n v="10.67"/>
  </r>
  <r>
    <s v="ORDER00439"/>
    <x v="48"/>
    <d v="2025-06-16T08:13:56"/>
    <s v="Flyer"/>
    <n v="11.29"/>
  </r>
  <r>
    <s v="ORDER00440"/>
    <x v="211"/>
    <d v="2025-02-24T08:13:56"/>
    <s v="Greeting Card"/>
    <n v="5.56"/>
  </r>
  <r>
    <s v="ORDER00441"/>
    <x v="225"/>
    <d v="2025-09-13T08:13:56"/>
    <s v="Photo Book"/>
    <n v="25.44"/>
  </r>
  <r>
    <s v="ORDER00442"/>
    <x v="226"/>
    <d v="2025-08-05T08:13:56"/>
    <s v="Canvas Print"/>
    <n v="33.6"/>
  </r>
  <r>
    <s v="ORDER00443"/>
    <x v="169"/>
    <d v="2025-03-06T08:13:56"/>
    <s v="Photo Book"/>
    <n v="26.88"/>
  </r>
  <r>
    <s v="ORDER00444"/>
    <x v="227"/>
    <d v="2025-03-08T08:13:56"/>
    <s v="Greeting Card"/>
    <n v="4.4800000000000004"/>
  </r>
  <r>
    <s v="ORDER00445"/>
    <x v="80"/>
    <d v="2024-12-27T08:13:56"/>
    <s v="Flyer"/>
    <n v="11.64"/>
  </r>
  <r>
    <s v="ORDER00446"/>
    <x v="46"/>
    <d v="2025-03-01T08:13:56"/>
    <s v="Business Card"/>
    <n v="13.62"/>
  </r>
  <r>
    <s v="ORDER00447"/>
    <x v="75"/>
    <d v="2024-10-31T08:13:56"/>
    <s v="Photo Book"/>
    <n v="27.09"/>
  </r>
  <r>
    <s v="ORDER00448"/>
    <x v="228"/>
    <d v="2025-06-26T08:13:56"/>
    <s v="Flyer"/>
    <n v="11.8"/>
  </r>
  <r>
    <s v="ORDER00449"/>
    <x v="165"/>
    <d v="2025-08-16T08:13:56"/>
    <s v="Flyer"/>
    <n v="8.1300000000000008"/>
  </r>
  <r>
    <s v="ORDER00450"/>
    <x v="83"/>
    <d v="2025-02-03T08:13:56"/>
    <s v="Poster"/>
    <n v="16.420000000000002"/>
  </r>
  <r>
    <s v="ORDER00451"/>
    <x v="229"/>
    <d v="2025-03-05T08:13:56"/>
    <s v="Photo Book"/>
    <n v="23.3"/>
  </r>
  <r>
    <s v="ORDER00452"/>
    <x v="0"/>
    <d v="2025-02-25T08:13:56"/>
    <s v="Business Card"/>
    <n v="13.95"/>
  </r>
  <r>
    <s v="ORDER00453"/>
    <x v="230"/>
    <d v="2024-12-17T08:13:56"/>
    <s v="Photo Book"/>
    <n v="22.67"/>
  </r>
  <r>
    <s v="ORDER00454"/>
    <x v="32"/>
    <d v="2025-01-27T08:13:56"/>
    <s v="Flyer"/>
    <n v="10.9"/>
  </r>
  <r>
    <s v="ORDER00455"/>
    <x v="4"/>
    <d v="2025-06-24T08:13:56"/>
    <s v="Business Card"/>
    <n v="13.81"/>
  </r>
  <r>
    <s v="ORDER00456"/>
    <x v="142"/>
    <d v="2025-07-29T08:13:56"/>
    <s v="Greeting Card"/>
    <n v="4.08"/>
  </r>
  <r>
    <s v="ORDER00457"/>
    <x v="72"/>
    <d v="2025-05-07T08:13:56"/>
    <s v="Poster"/>
    <n v="14.39"/>
  </r>
  <r>
    <s v="ORDER00458"/>
    <x v="121"/>
    <d v="2025-05-10T08:13:56"/>
    <s v="Flyer"/>
    <n v="11.05"/>
  </r>
  <r>
    <s v="ORDER00459"/>
    <x v="114"/>
    <d v="2025-01-07T08:13:56"/>
    <s v="Canvas Print"/>
    <n v="39.28"/>
  </r>
  <r>
    <s v="ORDER00460"/>
    <x v="171"/>
    <d v="2025-08-04T08:13:56"/>
    <s v="Canvas Print"/>
    <n v="36.28"/>
  </r>
  <r>
    <s v="ORDER00461"/>
    <x v="231"/>
    <d v="2025-10-14T08:13:56"/>
    <s v="Poster"/>
    <n v="13.32"/>
  </r>
  <r>
    <s v="ORDER00462"/>
    <x v="163"/>
    <d v="2025-07-04T08:13:56"/>
    <s v="Greeting Card"/>
    <n v="4.26"/>
  </r>
  <r>
    <s v="ORDER00463"/>
    <x v="229"/>
    <d v="2025-01-14T08:13:56"/>
    <s v="Flyer"/>
    <n v="11.43"/>
  </r>
  <r>
    <s v="ORDER00464"/>
    <x v="201"/>
    <d v="2025-04-02T08:13:56"/>
    <s v="Photo Book"/>
    <n v="25.75"/>
  </r>
  <r>
    <s v="ORDER00465"/>
    <x v="2"/>
    <d v="2025-03-23T08:13:56"/>
    <s v="Poster"/>
    <n v="12.46"/>
  </r>
  <r>
    <s v="ORDER00466"/>
    <x v="34"/>
    <d v="2025-01-24T08:13:56"/>
    <s v="Greeting Card"/>
    <n v="4.7699999999999996"/>
  </r>
  <r>
    <s v="ORDER00467"/>
    <x v="49"/>
    <d v="2025-05-03T08:13:56"/>
    <s v="Photo Book"/>
    <n v="23.68"/>
  </r>
  <r>
    <s v="ORDER00468"/>
    <x v="69"/>
    <d v="2025-08-11T08:13:56"/>
    <s v="Canvas Print"/>
    <n v="34.909999999999997"/>
  </r>
  <r>
    <s v="ORDER00469"/>
    <x v="222"/>
    <d v="2025-06-07T08:13:56"/>
    <s v="Canvas Print"/>
    <n v="38.97"/>
  </r>
  <r>
    <s v="ORDER00470"/>
    <x v="232"/>
    <d v="2025-01-07T08:13:56"/>
    <s v="Photo Book"/>
    <n v="23.32"/>
  </r>
  <r>
    <s v="ORDER00471"/>
    <x v="196"/>
    <d v="2024-12-16T08:13:56"/>
    <s v="Poster"/>
    <n v="14.05"/>
  </r>
  <r>
    <s v="ORDER00472"/>
    <x v="216"/>
    <d v="2025-02-01T08:13:56"/>
    <s v="Canvas Print"/>
    <n v="43.82"/>
  </r>
  <r>
    <s v="ORDER00473"/>
    <x v="147"/>
    <d v="2025-06-25T08:13:56"/>
    <s v="Flyer"/>
    <n v="8.89"/>
  </r>
  <r>
    <s v="ORDER00474"/>
    <x v="36"/>
    <d v="2025-05-22T08:13:56"/>
    <s v="Business Card"/>
    <n v="12.68"/>
  </r>
  <r>
    <s v="ORDER00475"/>
    <x v="233"/>
    <d v="2025-06-05T08:13:56"/>
    <s v="Photo Book"/>
    <n v="25.71"/>
  </r>
  <r>
    <s v="ORDER00476"/>
    <x v="180"/>
    <d v="2025-10-06T08:13:56"/>
    <s v="Photo Book"/>
    <n v="25.68"/>
  </r>
  <r>
    <s v="ORDER00477"/>
    <x v="25"/>
    <d v="2024-12-08T08:13:56"/>
    <s v="Canvas Print"/>
    <n v="42.61"/>
  </r>
  <r>
    <s v="ORDER00478"/>
    <x v="234"/>
    <d v="2025-02-07T08:13:56"/>
    <s v="Poster"/>
    <n v="15.29"/>
  </r>
  <r>
    <s v="ORDER00479"/>
    <x v="64"/>
    <d v="2025-08-15T08:13:56"/>
    <s v="Flyer"/>
    <n v="11.52"/>
  </r>
  <r>
    <s v="ORDER00480"/>
    <x v="94"/>
    <d v="2025-07-11T08:13:56"/>
    <s v="Poster"/>
    <n v="16.05"/>
  </r>
  <r>
    <s v="ORDER00481"/>
    <x v="19"/>
    <d v="2025-06-09T08:13:56"/>
    <s v="Greeting Card"/>
    <n v="5.09"/>
  </r>
  <r>
    <s v="ORDER00482"/>
    <x v="161"/>
    <d v="2025-10-22T08:13:56"/>
    <s v="Greeting Card"/>
    <n v="5.66"/>
  </r>
  <r>
    <s v="ORDER00483"/>
    <x v="165"/>
    <d v="2024-11-22T08:13:56"/>
    <s v="Business Card"/>
    <n v="12.51"/>
  </r>
  <r>
    <s v="ORDER00484"/>
    <x v="215"/>
    <d v="2025-07-07T08:13:56"/>
    <s v="Canvas Print"/>
    <n v="36.659999999999997"/>
  </r>
  <r>
    <s v="ORDER00485"/>
    <x v="171"/>
    <d v="2024-11-09T08:13:56"/>
    <s v="Canvas Print"/>
    <n v="35.31"/>
  </r>
  <r>
    <s v="ORDER00486"/>
    <x v="172"/>
    <d v="2025-07-03T08:13:56"/>
    <s v="Canvas Print"/>
    <n v="34.44"/>
  </r>
  <r>
    <s v="ORDER00487"/>
    <x v="106"/>
    <d v="2025-09-20T08:13:56"/>
    <s v="Business Card"/>
    <n v="13.92"/>
  </r>
  <r>
    <s v="ORDER00488"/>
    <x v="4"/>
    <d v="2025-02-07T08:13:56"/>
    <s v="Greeting Card"/>
    <n v="5.42"/>
  </r>
  <r>
    <s v="ORDER00489"/>
    <x v="165"/>
    <d v="2025-08-16T08:13:56"/>
    <s v="Poster"/>
    <n v="17.62"/>
  </r>
  <r>
    <s v="ORDER00490"/>
    <x v="235"/>
    <d v="2025-04-28T08:13:56"/>
    <s v="Business Card"/>
    <n v="12.5"/>
  </r>
  <r>
    <s v="ORDER00491"/>
    <x v="14"/>
    <d v="2025-06-10T08:13:56"/>
    <s v="Business Card"/>
    <n v="11.87"/>
  </r>
  <r>
    <s v="ORDER00492"/>
    <x v="111"/>
    <d v="2025-07-07T08:13:56"/>
    <s v="Poster"/>
    <n v="12.36"/>
  </r>
  <r>
    <s v="ORDER00493"/>
    <x v="212"/>
    <d v="2025-03-26T08:13:56"/>
    <s v="Canvas Print"/>
    <n v="42.75"/>
  </r>
  <r>
    <s v="ORDER00494"/>
    <x v="107"/>
    <d v="2025-02-03T08:13:56"/>
    <s v="Flyer"/>
    <n v="10.33"/>
  </r>
  <r>
    <s v="ORDER00495"/>
    <x v="236"/>
    <d v="2025-07-14T08:13:56"/>
    <s v="Poster"/>
    <n v="17.940000000000001"/>
  </r>
  <r>
    <s v="ORDER00496"/>
    <x v="212"/>
    <d v="2025-09-20T08:13:56"/>
    <s v="Greeting Card"/>
    <n v="4.4800000000000004"/>
  </r>
  <r>
    <s v="ORDER00497"/>
    <x v="237"/>
    <d v="2024-11-03T08:13:56"/>
    <s v="Photo Book"/>
    <n v="25.31"/>
  </r>
  <r>
    <s v="ORDER00498"/>
    <x v="168"/>
    <d v="2024-11-15T08:13:56"/>
    <s v="Photo Book"/>
    <n v="26.51"/>
  </r>
  <r>
    <s v="ORDER00499"/>
    <x v="131"/>
    <d v="2025-08-06T08:13:56"/>
    <s v="Business Card"/>
    <n v="12.69"/>
  </r>
  <r>
    <s v="ORDER00500"/>
    <x v="172"/>
    <d v="2025-10-01T08:13:56"/>
    <s v="Photo Book"/>
    <n v="25.61"/>
  </r>
  <r>
    <s v="ORDER00501"/>
    <x v="120"/>
    <d v="2025-07-04T08:13:56"/>
    <s v="Flyer"/>
    <n v="11.11"/>
  </r>
  <r>
    <s v="ORDER00502"/>
    <x v="74"/>
    <d v="2025-07-15T08:13:56"/>
    <s v="Canvas Print"/>
    <n v="35.28"/>
  </r>
  <r>
    <s v="ORDER00503"/>
    <x v="238"/>
    <d v="2025-04-08T08:13:56"/>
    <s v="Greeting Card"/>
    <n v="5.45"/>
  </r>
  <r>
    <s v="ORDER00504"/>
    <x v="239"/>
    <d v="2025-10-05T08:13:56"/>
    <s v="Flyer"/>
    <n v="10.48"/>
  </r>
  <r>
    <s v="ORDER00505"/>
    <x v="172"/>
    <d v="2025-03-31T08:13:56"/>
    <s v="Greeting Card"/>
    <n v="5.79"/>
  </r>
  <r>
    <s v="ORDER00506"/>
    <x v="172"/>
    <d v="2025-04-26T08:13:56"/>
    <s v="Greeting Card"/>
    <n v="5.69"/>
  </r>
  <r>
    <s v="ORDER00507"/>
    <x v="37"/>
    <d v="2025-04-11T08:13:56"/>
    <s v="Canvas Print"/>
    <n v="37.04"/>
  </r>
  <r>
    <s v="ORDER00508"/>
    <x v="58"/>
    <d v="2024-12-02T08:13:56"/>
    <s v="Business Card"/>
    <n v="10.93"/>
  </r>
  <r>
    <s v="ORDER00509"/>
    <x v="230"/>
    <d v="2025-04-27T08:13:56"/>
    <s v="Photo Book"/>
    <n v="29.82"/>
  </r>
  <r>
    <s v="ORDER00510"/>
    <x v="69"/>
    <d v="2025-02-08T08:13:56"/>
    <s v="Canvas Print"/>
    <n v="40.44"/>
  </r>
  <r>
    <s v="ORDER00511"/>
    <x v="153"/>
    <d v="2025-07-25T08:13:56"/>
    <s v="Flyer"/>
    <n v="11.63"/>
  </r>
  <r>
    <s v="ORDER00512"/>
    <x v="8"/>
    <d v="2025-09-18T08:13:56"/>
    <s v="Business Card"/>
    <n v="10.39"/>
  </r>
  <r>
    <s v="ORDER00513"/>
    <x v="91"/>
    <d v="2025-01-03T08:13:56"/>
    <s v="Flyer"/>
    <n v="10.57"/>
  </r>
  <r>
    <s v="ORDER00514"/>
    <x v="169"/>
    <d v="2025-04-16T08:13:56"/>
    <s v="Business Card"/>
    <n v="13.49"/>
  </r>
  <r>
    <s v="ORDER00515"/>
    <x v="169"/>
    <d v="2025-09-25T08:13:56"/>
    <s v="Flyer"/>
    <n v="11.79"/>
  </r>
  <r>
    <s v="ORDER00516"/>
    <x v="240"/>
    <d v="2024-12-12T08:13:56"/>
    <s v="Canvas Print"/>
    <n v="37.4"/>
  </r>
  <r>
    <s v="ORDER00517"/>
    <x v="216"/>
    <d v="2024-12-13T08:13:56"/>
    <s v="Business Card"/>
    <n v="13.08"/>
  </r>
  <r>
    <s v="ORDER00518"/>
    <x v="241"/>
    <d v="2025-08-11T08:13:56"/>
    <s v="Business Card"/>
    <n v="12.19"/>
  </r>
  <r>
    <s v="ORDER00519"/>
    <x v="192"/>
    <d v="2024-11-11T08:13:56"/>
    <s v="Greeting Card"/>
    <n v="4.12"/>
  </r>
  <r>
    <s v="ORDER00520"/>
    <x v="215"/>
    <d v="2025-02-02T08:13:56"/>
    <s v="Greeting Card"/>
    <n v="5.38"/>
  </r>
  <r>
    <s v="ORDER00521"/>
    <x v="242"/>
    <d v="2025-08-28T08:13:56"/>
    <s v="Poster"/>
    <n v="16.14"/>
  </r>
  <r>
    <s v="ORDER00522"/>
    <x v="243"/>
    <d v="2025-07-10T08:13:56"/>
    <s v="Flyer"/>
    <n v="11.72"/>
  </r>
  <r>
    <s v="ORDER00523"/>
    <x v="156"/>
    <d v="2025-06-29T08:13:56"/>
    <s v="Greeting Card"/>
    <n v="4.99"/>
  </r>
  <r>
    <s v="ORDER00524"/>
    <x v="149"/>
    <d v="2024-12-04T08:13:56"/>
    <s v="Poster"/>
    <n v="13.38"/>
  </r>
  <r>
    <s v="ORDER00525"/>
    <x v="87"/>
    <d v="2025-06-02T08:13:56"/>
    <s v="Greeting Card"/>
    <n v="4.09"/>
  </r>
  <r>
    <s v="ORDER00526"/>
    <x v="177"/>
    <d v="2025-10-02T08:13:56"/>
    <s v="Flyer"/>
    <n v="9.66"/>
  </r>
  <r>
    <s v="ORDER00527"/>
    <x v="241"/>
    <d v="2025-01-28T08:13:56"/>
    <s v="Business Card"/>
    <n v="11.05"/>
  </r>
  <r>
    <s v="ORDER00528"/>
    <x v="143"/>
    <d v="2025-07-21T08:13:56"/>
    <s v="Photo Book"/>
    <n v="27.61"/>
  </r>
  <r>
    <s v="ORDER00529"/>
    <x v="244"/>
    <d v="2025-01-31T08:13:56"/>
    <s v="Flyer"/>
    <n v="9.42"/>
  </r>
  <r>
    <s v="ORDER00530"/>
    <x v="45"/>
    <d v="2025-01-28T08:13:56"/>
    <s v="Canvas Print"/>
    <n v="47.19"/>
  </r>
  <r>
    <s v="ORDER00531"/>
    <x v="232"/>
    <d v="2025-02-22T08:13:56"/>
    <s v="Greeting Card"/>
    <n v="5.92"/>
  </r>
  <r>
    <s v="ORDER00532"/>
    <x v="124"/>
    <d v="2025-02-12T08:13:56"/>
    <s v="Greeting Card"/>
    <n v="5.24"/>
  </r>
  <r>
    <s v="ORDER00533"/>
    <x v="51"/>
    <d v="2025-05-14T08:13:56"/>
    <s v="Business Card"/>
    <n v="14.06"/>
  </r>
  <r>
    <s v="ORDER00534"/>
    <x v="157"/>
    <d v="2025-09-09T08:13:56"/>
    <s v="Canvas Print"/>
    <n v="44.17"/>
  </r>
  <r>
    <s v="ORDER00535"/>
    <x v="245"/>
    <d v="2025-02-21T08:13:56"/>
    <s v="Business Card"/>
    <n v="12.22"/>
  </r>
  <r>
    <s v="ORDER00536"/>
    <x v="246"/>
    <d v="2025-01-13T08:13:56"/>
    <s v="Canvas Print"/>
    <n v="34.880000000000003"/>
  </r>
  <r>
    <s v="ORDER00537"/>
    <x v="247"/>
    <d v="2025-06-04T08:13:56"/>
    <s v="Photo Book"/>
    <n v="24.59"/>
  </r>
  <r>
    <s v="ORDER00538"/>
    <x v="204"/>
    <d v="2025-08-03T08:13:56"/>
    <s v="Greeting Card"/>
    <n v="5.12"/>
  </r>
  <r>
    <s v="ORDER00539"/>
    <x v="39"/>
    <d v="2025-07-06T08:13:56"/>
    <s v="Greeting Card"/>
    <n v="5.73"/>
  </r>
  <r>
    <s v="ORDER00540"/>
    <x v="120"/>
    <d v="2025-04-12T08:13:56"/>
    <s v="Photo Book"/>
    <n v="24.81"/>
  </r>
  <r>
    <s v="ORDER00541"/>
    <x v="7"/>
    <d v="2025-10-22T08:13:56"/>
    <s v="Poster"/>
    <n v="17.39"/>
  </r>
  <r>
    <s v="ORDER00542"/>
    <x v="189"/>
    <d v="2025-05-10T08:13:56"/>
    <s v="Business Card"/>
    <n v="12.84"/>
  </r>
  <r>
    <s v="ORDER00543"/>
    <x v="243"/>
    <d v="2025-06-14T08:13:56"/>
    <s v="Photo Book"/>
    <n v="21.37"/>
  </r>
  <r>
    <s v="ORDER00544"/>
    <x v="130"/>
    <d v="2025-04-25T08:13:56"/>
    <s v="Business Card"/>
    <n v="14.38"/>
  </r>
  <r>
    <s v="ORDER00545"/>
    <x v="248"/>
    <d v="2025-02-06T08:13:56"/>
    <s v="Flyer"/>
    <n v="10.11"/>
  </r>
  <r>
    <s v="ORDER00546"/>
    <x v="109"/>
    <d v="2024-12-05T08:13:56"/>
    <s v="Greeting Card"/>
    <n v="4.78"/>
  </r>
  <r>
    <s v="ORDER00547"/>
    <x v="148"/>
    <d v="2025-02-03T08:13:56"/>
    <s v="Business Card"/>
    <n v="12.76"/>
  </r>
  <r>
    <s v="ORDER00548"/>
    <x v="156"/>
    <d v="2025-03-31T08:13:56"/>
    <s v="Canvas Print"/>
    <n v="33.74"/>
  </r>
  <r>
    <s v="ORDER00549"/>
    <x v="249"/>
    <d v="2025-03-30T08:13:56"/>
    <s v="Business Card"/>
    <n v="12.66"/>
  </r>
  <r>
    <s v="ORDER00550"/>
    <x v="250"/>
    <d v="2025-05-08T08:13:56"/>
    <s v="Flyer"/>
    <n v="9.99"/>
  </r>
  <r>
    <s v="ORDER00551"/>
    <x v="248"/>
    <d v="2025-06-11T08:13:56"/>
    <s v="Greeting Card"/>
    <n v="4.8099999999999996"/>
  </r>
  <r>
    <s v="ORDER00552"/>
    <x v="120"/>
    <d v="2024-12-06T08:13:56"/>
    <s v="Photo Book"/>
    <n v="29.53"/>
  </r>
  <r>
    <s v="ORDER00553"/>
    <x v="24"/>
    <d v="2025-07-25T08:13:56"/>
    <s v="Flyer"/>
    <n v="10.09"/>
  </r>
  <r>
    <s v="ORDER00554"/>
    <x v="132"/>
    <d v="2025-05-01T08:13:56"/>
    <s v="Greeting Card"/>
    <n v="4.4400000000000004"/>
  </r>
  <r>
    <s v="ORDER00555"/>
    <x v="236"/>
    <d v="2024-11-12T08:13:56"/>
    <s v="Business Card"/>
    <n v="11.8"/>
  </r>
  <r>
    <s v="ORDER00556"/>
    <x v="176"/>
    <d v="2025-08-05T08:13:56"/>
    <s v="Poster"/>
    <n v="17.52"/>
  </r>
  <r>
    <s v="ORDER00557"/>
    <x v="62"/>
    <d v="2025-06-04T08:13:56"/>
    <s v="Poster"/>
    <n v="13.06"/>
  </r>
  <r>
    <s v="ORDER00558"/>
    <x v="251"/>
    <d v="2025-10-20T08:13:56"/>
    <s v="Canvas Print"/>
    <n v="35.42"/>
  </r>
  <r>
    <s v="ORDER00559"/>
    <x v="185"/>
    <d v="2025-10-26T08:13:56"/>
    <s v="Greeting Card"/>
    <n v="4.03"/>
  </r>
  <r>
    <s v="ORDER00560"/>
    <x v="252"/>
    <d v="2025-08-12T08:13:56"/>
    <s v="Poster"/>
    <n v="12.09"/>
  </r>
  <r>
    <s v="ORDER00561"/>
    <x v="109"/>
    <d v="2025-07-30T08:13:56"/>
    <s v="Photo Book"/>
    <n v="28.29"/>
  </r>
  <r>
    <s v="ORDER00562"/>
    <x v="204"/>
    <d v="2024-12-31T08:13:56"/>
    <s v="Greeting Card"/>
    <n v="5.46"/>
  </r>
  <r>
    <s v="ORDER00563"/>
    <x v="191"/>
    <d v="2025-01-22T08:13:56"/>
    <s v="Photo Book"/>
    <n v="23.55"/>
  </r>
  <r>
    <s v="ORDER00564"/>
    <x v="253"/>
    <d v="2025-06-04T08:13:56"/>
    <s v="Photo Book"/>
    <n v="26.98"/>
  </r>
  <r>
    <s v="ORDER00565"/>
    <x v="147"/>
    <d v="2025-10-07T08:13:56"/>
    <s v="Poster"/>
    <n v="14.37"/>
  </r>
  <r>
    <s v="ORDER00566"/>
    <x v="85"/>
    <d v="2025-05-05T08:13:56"/>
    <s v="Greeting Card"/>
    <n v="5.91"/>
  </r>
  <r>
    <s v="ORDER00567"/>
    <x v="27"/>
    <d v="2024-11-18T08:13:56"/>
    <s v="Business Card"/>
    <n v="14.24"/>
  </r>
  <r>
    <s v="ORDER00568"/>
    <x v="252"/>
    <d v="2025-04-25T08:13:56"/>
    <s v="Flyer"/>
    <n v="9.57"/>
  </r>
  <r>
    <s v="ORDER00569"/>
    <x v="128"/>
    <d v="2025-02-07T08:13:56"/>
    <s v="Poster"/>
    <n v="17.13"/>
  </r>
  <r>
    <s v="ORDER00570"/>
    <x v="115"/>
    <d v="2025-06-20T08:13:56"/>
    <s v="Poster"/>
    <n v="16.64"/>
  </r>
  <r>
    <s v="ORDER00571"/>
    <x v="254"/>
    <d v="2025-01-14T08:13:56"/>
    <s v="Business Card"/>
    <n v="11.09"/>
  </r>
  <r>
    <s v="ORDER00572"/>
    <x v="193"/>
    <d v="2025-07-22T08:13:56"/>
    <s v="Greeting Card"/>
    <n v="4.46"/>
  </r>
  <r>
    <s v="ORDER00573"/>
    <x v="111"/>
    <d v="2025-08-10T08:13:56"/>
    <s v="Greeting Card"/>
    <n v="4.92"/>
  </r>
  <r>
    <s v="ORDER00574"/>
    <x v="196"/>
    <d v="2025-05-24T08:13:56"/>
    <s v="Photo Book"/>
    <n v="27.81"/>
  </r>
  <r>
    <s v="ORDER00575"/>
    <x v="149"/>
    <d v="2025-06-10T08:13:56"/>
    <s v="Business Card"/>
    <n v="14.21"/>
  </r>
  <r>
    <s v="ORDER00576"/>
    <x v="94"/>
    <d v="2024-12-21T08:13:56"/>
    <s v="Business Card"/>
    <n v="13.27"/>
  </r>
  <r>
    <s v="ORDER00577"/>
    <x v="255"/>
    <d v="2025-10-04T08:13:56"/>
    <s v="Greeting Card"/>
    <n v="5.71"/>
  </r>
  <r>
    <s v="ORDER00578"/>
    <x v="53"/>
    <d v="2025-03-23T08:13:56"/>
    <s v="Photo Book"/>
    <n v="26.03"/>
  </r>
  <r>
    <s v="ORDER00579"/>
    <x v="256"/>
    <d v="2025-01-07T08:13:56"/>
    <s v="Poster"/>
    <n v="17.010000000000002"/>
  </r>
  <r>
    <s v="ORDER00580"/>
    <x v="257"/>
    <d v="2025-02-06T08:13:56"/>
    <s v="Canvas Print"/>
    <n v="44.55"/>
  </r>
  <r>
    <s v="ORDER00581"/>
    <x v="209"/>
    <d v="2024-11-24T08:13:56"/>
    <s v="Flyer"/>
    <n v="9.51"/>
  </r>
  <r>
    <s v="ORDER00582"/>
    <x v="165"/>
    <d v="2024-12-22T08:13:56"/>
    <s v="Poster"/>
    <n v="15.31"/>
  </r>
  <r>
    <s v="ORDER00583"/>
    <x v="115"/>
    <d v="2025-03-30T08:13:56"/>
    <s v="Greeting Card"/>
    <n v="5.61"/>
  </r>
  <r>
    <s v="ORDER00584"/>
    <x v="178"/>
    <d v="2025-03-23T08:13:56"/>
    <s v="Flyer"/>
    <n v="8.18"/>
  </r>
  <r>
    <s v="ORDER00585"/>
    <x v="231"/>
    <d v="2024-12-26T08:13:56"/>
    <s v="Canvas Print"/>
    <n v="44.93"/>
  </r>
  <r>
    <s v="ORDER00586"/>
    <x v="51"/>
    <d v="2024-12-08T08:13:56"/>
    <s v="Canvas Print"/>
    <n v="34.85"/>
  </r>
  <r>
    <s v="ORDER00587"/>
    <x v="258"/>
    <d v="2025-02-16T08:13:56"/>
    <s v="Photo Book"/>
    <n v="25.15"/>
  </r>
  <r>
    <s v="ORDER00588"/>
    <x v="115"/>
    <d v="2025-04-29T08:13:56"/>
    <s v="Flyer"/>
    <n v="11.23"/>
  </r>
  <r>
    <s v="ORDER00589"/>
    <x v="57"/>
    <d v="2024-12-11T08:13:56"/>
    <s v="Photo Book"/>
    <n v="22.54"/>
  </r>
  <r>
    <s v="ORDER00590"/>
    <x v="108"/>
    <d v="2025-05-04T08:13:56"/>
    <s v="Poster"/>
    <n v="13.47"/>
  </r>
  <r>
    <s v="ORDER00591"/>
    <x v="42"/>
    <d v="2025-06-10T08:13:56"/>
    <s v="Business Card"/>
    <n v="11.53"/>
  </r>
  <r>
    <s v="ORDER00592"/>
    <x v="9"/>
    <d v="2025-03-01T08:13:56"/>
    <s v="Business Card"/>
    <n v="13.89"/>
  </r>
  <r>
    <s v="ORDER00593"/>
    <x v="128"/>
    <d v="2025-03-12T08:13:56"/>
    <s v="Business Card"/>
    <n v="9.6"/>
  </r>
  <r>
    <s v="ORDER00594"/>
    <x v="10"/>
    <d v="2025-04-11T08:13:56"/>
    <s v="Flyer"/>
    <n v="11.61"/>
  </r>
  <r>
    <s v="ORDER00595"/>
    <x v="253"/>
    <d v="2025-06-02T08:13:56"/>
    <s v="Business Card"/>
    <n v="10.34"/>
  </r>
  <r>
    <s v="ORDER00596"/>
    <x v="184"/>
    <d v="2025-06-08T08:13:56"/>
    <s v="Poster"/>
    <n v="17.940000000000001"/>
  </r>
  <r>
    <s v="ORDER00597"/>
    <x v="161"/>
    <d v="2025-06-22T08:13:56"/>
    <s v="Photo Book"/>
    <n v="29.55"/>
  </r>
  <r>
    <s v="ORDER00598"/>
    <x v="18"/>
    <d v="2025-09-26T08:13:56"/>
    <s v="Flyer"/>
    <n v="9.98"/>
  </r>
  <r>
    <s v="ORDER00599"/>
    <x v="91"/>
    <d v="2025-03-25T08:13:56"/>
    <s v="Photo Book"/>
    <n v="25.13"/>
  </r>
  <r>
    <s v="ORDER00600"/>
    <x v="259"/>
    <d v="2025-06-26T08:13:56"/>
    <s v="Flyer"/>
    <n v="9.93"/>
  </r>
  <r>
    <s v="ORDER00601"/>
    <x v="10"/>
    <d v="2025-01-14T08:13:56"/>
    <s v="Photo Book"/>
    <n v="26.35"/>
  </r>
  <r>
    <s v="ORDER00602"/>
    <x v="230"/>
    <d v="2024-11-08T08:13:56"/>
    <s v="Canvas Print"/>
    <n v="33.450000000000003"/>
  </r>
  <r>
    <s v="ORDER00603"/>
    <x v="153"/>
    <d v="2025-01-12T08:13:56"/>
    <s v="Photo Book"/>
    <n v="20.329999999999998"/>
  </r>
  <r>
    <s v="ORDER00604"/>
    <x v="97"/>
    <d v="2025-07-10T08:13:56"/>
    <s v="Business Card"/>
    <n v="9.8800000000000008"/>
  </r>
  <r>
    <s v="ORDER00605"/>
    <x v="257"/>
    <d v="2025-06-17T08:13:56"/>
    <s v="Canvas Print"/>
    <n v="39.11"/>
  </r>
  <r>
    <s v="ORDER00606"/>
    <x v="55"/>
    <d v="2024-11-06T08:13:56"/>
    <s v="Photo Book"/>
    <n v="22.76"/>
  </r>
  <r>
    <s v="ORDER00607"/>
    <x v="137"/>
    <d v="2025-04-22T08:13:56"/>
    <s v="Flyer"/>
    <n v="10.49"/>
  </r>
  <r>
    <s v="ORDER00608"/>
    <x v="249"/>
    <d v="2025-03-20T08:13:56"/>
    <s v="Flyer"/>
    <n v="11.97"/>
  </r>
  <r>
    <s v="ORDER00609"/>
    <x v="173"/>
    <d v="2025-04-16T08:13:56"/>
    <s v="Flyer"/>
    <n v="9.5500000000000007"/>
  </r>
  <r>
    <s v="ORDER00610"/>
    <x v="167"/>
    <d v="2025-04-18T08:13:56"/>
    <s v="Greeting Card"/>
    <n v="5.15"/>
  </r>
  <r>
    <s v="ORDER00611"/>
    <x v="204"/>
    <d v="2025-08-09T08:13:56"/>
    <s v="Poster"/>
    <n v="14.49"/>
  </r>
  <r>
    <s v="ORDER00612"/>
    <x v="217"/>
    <d v="2025-03-01T08:13:56"/>
    <s v="Flyer"/>
    <n v="11.39"/>
  </r>
  <r>
    <s v="ORDER00613"/>
    <x v="258"/>
    <d v="2025-05-12T08:13:56"/>
    <s v="Canvas Print"/>
    <n v="46.44"/>
  </r>
  <r>
    <s v="ORDER00614"/>
    <x v="260"/>
    <d v="2024-11-04T08:13:56"/>
    <s v="Flyer"/>
    <n v="11.51"/>
  </r>
  <r>
    <s v="ORDER00615"/>
    <x v="184"/>
    <d v="2024-11-28T08:13:56"/>
    <s v="Greeting Card"/>
    <n v="5.95"/>
  </r>
  <r>
    <s v="ORDER00616"/>
    <x v="227"/>
    <d v="2025-04-13T08:13:56"/>
    <s v="Business Card"/>
    <n v="9.73"/>
  </r>
  <r>
    <s v="ORDER00617"/>
    <x v="24"/>
    <d v="2025-10-04T08:13:56"/>
    <s v="Canvas Print"/>
    <n v="45.44"/>
  </r>
  <r>
    <s v="ORDER00618"/>
    <x v="49"/>
    <d v="2025-03-15T08:13:56"/>
    <s v="Greeting Card"/>
    <n v="5.5"/>
  </r>
  <r>
    <s v="ORDER00619"/>
    <x v="261"/>
    <d v="2025-10-30T08:13:56"/>
    <s v="Business Card"/>
    <n v="10.7"/>
  </r>
  <r>
    <s v="ORDER00620"/>
    <x v="139"/>
    <d v="2025-09-16T08:13:56"/>
    <s v="Canvas Print"/>
    <n v="47.3"/>
  </r>
  <r>
    <s v="ORDER00621"/>
    <x v="256"/>
    <d v="2025-10-07T08:13:56"/>
    <s v="Photo Book"/>
    <n v="21.48"/>
  </r>
  <r>
    <s v="ORDER00622"/>
    <x v="184"/>
    <d v="2025-03-24T08:13:56"/>
    <s v="Poster"/>
    <n v="16.079999999999998"/>
  </r>
  <r>
    <s v="ORDER00623"/>
    <x v="262"/>
    <d v="2025-09-22T08:13:56"/>
    <s v="Poster"/>
    <n v="13.35"/>
  </r>
  <r>
    <s v="ORDER00624"/>
    <x v="263"/>
    <d v="2025-06-04T08:13:56"/>
    <s v="Greeting Card"/>
    <n v="4.8600000000000003"/>
  </r>
  <r>
    <s v="ORDER00625"/>
    <x v="211"/>
    <d v="2025-08-27T08:13:56"/>
    <s v="Business Card"/>
    <n v="13.05"/>
  </r>
  <r>
    <s v="ORDER00626"/>
    <x v="192"/>
    <d v="2025-03-11T08:13:56"/>
    <s v="Poster"/>
    <n v="15.38"/>
  </r>
  <r>
    <s v="ORDER00627"/>
    <x v="264"/>
    <d v="2025-08-18T08:13:56"/>
    <s v="Business Card"/>
    <n v="11.65"/>
  </r>
  <r>
    <s v="ORDER00628"/>
    <x v="189"/>
    <d v="2025-01-08T08:13:56"/>
    <s v="Business Card"/>
    <n v="11.17"/>
  </r>
  <r>
    <s v="ORDER00629"/>
    <x v="55"/>
    <d v="2025-07-09T08:13:56"/>
    <s v="Greeting Card"/>
    <n v="5.68"/>
  </r>
  <r>
    <s v="ORDER00630"/>
    <x v="48"/>
    <d v="2025-08-01T08:13:56"/>
    <s v="Greeting Card"/>
    <n v="4.29"/>
  </r>
  <r>
    <s v="ORDER00631"/>
    <x v="132"/>
    <d v="2025-10-29T08:13:56"/>
    <s v="Greeting Card"/>
    <n v="4.8600000000000003"/>
  </r>
  <r>
    <s v="ORDER00632"/>
    <x v="246"/>
    <d v="2025-04-30T08:13:56"/>
    <s v="Poster"/>
    <n v="17.420000000000002"/>
  </r>
  <r>
    <s v="ORDER00633"/>
    <x v="12"/>
    <d v="2025-04-15T08:13:56"/>
    <s v="Greeting Card"/>
    <n v="5.69"/>
  </r>
  <r>
    <s v="ORDER00634"/>
    <x v="18"/>
    <d v="2025-01-29T08:13:56"/>
    <s v="Poster"/>
    <n v="14.41"/>
  </r>
  <r>
    <s v="ORDER00635"/>
    <x v="68"/>
    <d v="2025-05-20T08:13:56"/>
    <s v="Greeting Card"/>
    <n v="5.53"/>
  </r>
  <r>
    <s v="ORDER00636"/>
    <x v="171"/>
    <d v="2025-10-11T08:13:56"/>
    <s v="Flyer"/>
    <n v="11.29"/>
  </r>
  <r>
    <s v="ORDER00637"/>
    <x v="133"/>
    <d v="2024-11-18T08:13:56"/>
    <s v="Business Card"/>
    <n v="13.87"/>
  </r>
  <r>
    <s v="ORDER00638"/>
    <x v="96"/>
    <d v="2024-12-08T08:13:56"/>
    <s v="Greeting Card"/>
    <n v="5.09"/>
  </r>
  <r>
    <s v="ORDER00639"/>
    <x v="103"/>
    <d v="2025-03-05T08:13:56"/>
    <s v="Canvas Print"/>
    <n v="35.270000000000003"/>
  </r>
  <r>
    <s v="ORDER00640"/>
    <x v="227"/>
    <d v="2025-04-21T08:13:56"/>
    <s v="Business Card"/>
    <n v="10.83"/>
  </r>
  <r>
    <s v="ORDER00641"/>
    <x v="190"/>
    <d v="2025-03-20T08:13:56"/>
    <s v="Business Card"/>
    <n v="11.02"/>
  </r>
  <r>
    <s v="ORDER00642"/>
    <x v="265"/>
    <d v="2025-06-29T08:13:56"/>
    <s v="Greeting Card"/>
    <n v="5.19"/>
  </r>
  <r>
    <s v="ORDER00643"/>
    <x v="170"/>
    <d v="2025-06-07T08:13:56"/>
    <s v="Photo Book"/>
    <n v="20.329999999999998"/>
  </r>
  <r>
    <s v="ORDER00644"/>
    <x v="227"/>
    <d v="2025-03-05T08:13:56"/>
    <s v="Greeting Card"/>
    <n v="5.27"/>
  </r>
  <r>
    <s v="ORDER00645"/>
    <x v="266"/>
    <d v="2024-12-27T08:13:56"/>
    <s v="Business Card"/>
    <n v="11.35"/>
  </r>
  <r>
    <s v="ORDER00646"/>
    <x v="217"/>
    <d v="2025-03-27T08:13:56"/>
    <s v="Canvas Print"/>
    <n v="36.72"/>
  </r>
  <r>
    <s v="ORDER00647"/>
    <x v="16"/>
    <d v="2025-09-12T08:13:56"/>
    <s v="Business Card"/>
    <n v="13.82"/>
  </r>
  <r>
    <s v="ORDER00648"/>
    <x v="133"/>
    <d v="2025-10-26T08:13:56"/>
    <s v="Canvas Print"/>
    <n v="39.36"/>
  </r>
  <r>
    <s v="ORDER00649"/>
    <x v="123"/>
    <d v="2024-10-31T08:13:56"/>
    <s v="Poster"/>
    <n v="12.57"/>
  </r>
  <r>
    <s v="ORDER00650"/>
    <x v="81"/>
    <d v="2025-10-13T08:13:56"/>
    <s v="Flyer"/>
    <n v="11.31"/>
  </r>
  <r>
    <s v="ORDER00651"/>
    <x v="200"/>
    <d v="2025-05-08T08:13:56"/>
    <s v="Business Card"/>
    <n v="9.83"/>
  </r>
  <r>
    <s v="ORDER00652"/>
    <x v="58"/>
    <d v="2025-05-09T08:13:56"/>
    <s v="Greeting Card"/>
    <n v="5.45"/>
  </r>
  <r>
    <s v="ORDER00653"/>
    <x v="203"/>
    <d v="2025-09-07T08:13:56"/>
    <s v="Poster"/>
    <n v="16.64"/>
  </r>
  <r>
    <s v="ORDER00654"/>
    <x v="25"/>
    <d v="2025-02-24T08:13:56"/>
    <s v="Flyer"/>
    <n v="9.41"/>
  </r>
  <r>
    <s v="ORDER00655"/>
    <x v="96"/>
    <d v="2025-03-13T08:13:56"/>
    <s v="Greeting Card"/>
    <n v="5.65"/>
  </r>
  <r>
    <s v="ORDER00656"/>
    <x v="43"/>
    <d v="2024-12-27T08:13:56"/>
    <s v="Photo Book"/>
    <n v="25.16"/>
  </r>
  <r>
    <s v="ORDER00657"/>
    <x v="146"/>
    <d v="2024-12-13T08:13:56"/>
    <s v="Greeting Card"/>
    <n v="4.93"/>
  </r>
  <r>
    <s v="ORDER00658"/>
    <x v="182"/>
    <d v="2025-04-21T08:13:56"/>
    <s v="Canvas Print"/>
    <n v="32.729999999999997"/>
  </r>
  <r>
    <s v="ORDER00659"/>
    <x v="20"/>
    <d v="2025-04-08T08:13:56"/>
    <s v="Canvas Print"/>
    <n v="36.64"/>
  </r>
  <r>
    <s v="ORDER00660"/>
    <x v="189"/>
    <d v="2025-04-21T08:13:56"/>
    <s v="Photo Book"/>
    <n v="29.31"/>
  </r>
  <r>
    <s v="ORDER00661"/>
    <x v="232"/>
    <d v="2025-09-12T08:13:56"/>
    <s v="Poster"/>
    <n v="14.35"/>
  </r>
  <r>
    <s v="ORDER00662"/>
    <x v="208"/>
    <d v="2025-08-29T08:13:56"/>
    <s v="Flyer"/>
    <n v="10.19"/>
  </r>
  <r>
    <s v="ORDER00663"/>
    <x v="63"/>
    <d v="2025-03-28T08:13:56"/>
    <s v="Greeting Card"/>
    <n v="5.0599999999999996"/>
  </r>
  <r>
    <s v="ORDER00664"/>
    <x v="91"/>
    <d v="2025-01-18T08:13:56"/>
    <s v="Canvas Print"/>
    <n v="41.45"/>
  </r>
  <r>
    <s v="ORDER00665"/>
    <x v="80"/>
    <d v="2025-05-31T08:13:56"/>
    <s v="Poster"/>
    <n v="12.37"/>
  </r>
  <r>
    <s v="ORDER00666"/>
    <x v="1"/>
    <d v="2025-05-21T08:13:56"/>
    <s v="Photo Book"/>
    <n v="23.62"/>
  </r>
  <r>
    <s v="ORDER00667"/>
    <x v="102"/>
    <d v="2025-07-09T08:13:56"/>
    <s v="Business Card"/>
    <n v="13.07"/>
  </r>
  <r>
    <s v="ORDER00668"/>
    <x v="251"/>
    <d v="2025-06-16T08:13:56"/>
    <s v="Canvas Print"/>
    <n v="35.21"/>
  </r>
  <r>
    <s v="ORDER00669"/>
    <x v="158"/>
    <d v="2025-04-12T08:13:56"/>
    <s v="Photo Book"/>
    <n v="22.04"/>
  </r>
  <r>
    <s v="ORDER00670"/>
    <x v="50"/>
    <d v="2025-06-14T08:13:56"/>
    <s v="Greeting Card"/>
    <n v="4.0199999999999996"/>
  </r>
  <r>
    <s v="ORDER00671"/>
    <x v="58"/>
    <d v="2025-03-26T08:13:56"/>
    <s v="Flyer"/>
    <n v="9.75"/>
  </r>
  <r>
    <s v="ORDER00672"/>
    <x v="248"/>
    <d v="2024-11-19T08:13:56"/>
    <s v="Canvas Print"/>
    <n v="46.12"/>
  </r>
  <r>
    <s v="ORDER00673"/>
    <x v="247"/>
    <d v="2024-12-16T08:13:56"/>
    <s v="Canvas Print"/>
    <n v="32.83"/>
  </r>
  <r>
    <s v="ORDER00674"/>
    <x v="267"/>
    <d v="2025-06-20T08:13:56"/>
    <s v="Greeting Card"/>
    <n v="4.38"/>
  </r>
  <r>
    <s v="ORDER00675"/>
    <x v="104"/>
    <d v="2025-08-31T08:13:56"/>
    <s v="Business Card"/>
    <n v="11.09"/>
  </r>
  <r>
    <s v="ORDER00676"/>
    <x v="213"/>
    <d v="2024-11-13T08:13:56"/>
    <s v="Poster"/>
    <n v="16.39"/>
  </r>
  <r>
    <s v="ORDER00677"/>
    <x v="129"/>
    <d v="2025-03-22T08:13:56"/>
    <s v="Flyer"/>
    <n v="10.56"/>
  </r>
  <r>
    <s v="ORDER00678"/>
    <x v="133"/>
    <d v="2024-10-31T08:13:56"/>
    <s v="Canvas Print"/>
    <n v="38.659999999999997"/>
  </r>
  <r>
    <s v="ORDER00679"/>
    <x v="107"/>
    <d v="2024-12-23T08:13:56"/>
    <s v="Flyer"/>
    <n v="11.04"/>
  </r>
  <r>
    <s v="ORDER00680"/>
    <x v="262"/>
    <d v="2025-07-16T08:13:56"/>
    <s v="Canvas Print"/>
    <n v="41.75"/>
  </r>
  <r>
    <s v="ORDER00681"/>
    <x v="188"/>
    <d v="2025-03-23T08:13:56"/>
    <s v="Flyer"/>
    <n v="11.58"/>
  </r>
  <r>
    <s v="ORDER00682"/>
    <x v="47"/>
    <d v="2024-11-11T08:13:56"/>
    <s v="Photo Book"/>
    <n v="28.18"/>
  </r>
  <r>
    <s v="ORDER00683"/>
    <x v="90"/>
    <d v="2025-09-25T08:13:56"/>
    <s v="Canvas Print"/>
    <n v="36.049999999999997"/>
  </r>
  <r>
    <s v="ORDER00684"/>
    <x v="64"/>
    <d v="2025-06-11T08:13:56"/>
    <s v="Flyer"/>
    <n v="9.09"/>
  </r>
  <r>
    <s v="ORDER00685"/>
    <x v="171"/>
    <d v="2025-07-29T08:13:56"/>
    <s v="Poster"/>
    <n v="12.75"/>
  </r>
  <r>
    <s v="ORDER00686"/>
    <x v="230"/>
    <d v="2025-10-23T08:13:56"/>
    <s v="Photo Book"/>
    <n v="23.37"/>
  </r>
  <r>
    <s v="ORDER00687"/>
    <x v="198"/>
    <d v="2025-04-04T08:13:56"/>
    <s v="Photo Book"/>
    <n v="30"/>
  </r>
  <r>
    <s v="ORDER00688"/>
    <x v="148"/>
    <d v="2024-11-07T08:13:56"/>
    <s v="Poster"/>
    <n v="14.43"/>
  </r>
  <r>
    <s v="ORDER00689"/>
    <x v="182"/>
    <d v="2025-03-01T08:13:56"/>
    <s v="Flyer"/>
    <n v="8.8800000000000008"/>
  </r>
  <r>
    <s v="ORDER00690"/>
    <x v="254"/>
    <d v="2025-10-13T08:13:56"/>
    <s v="Greeting Card"/>
    <n v="5.52"/>
  </r>
  <r>
    <s v="ORDER00691"/>
    <x v="134"/>
    <d v="2025-04-12T08:13:56"/>
    <s v="Poster"/>
    <n v="15.25"/>
  </r>
  <r>
    <s v="ORDER00692"/>
    <x v="2"/>
    <d v="2025-01-28T08:13:56"/>
    <s v="Flyer"/>
    <n v="8.6"/>
  </r>
  <r>
    <s v="ORDER00693"/>
    <x v="10"/>
    <d v="2025-03-15T08:13:56"/>
    <s v="Poster"/>
    <n v="14.28"/>
  </r>
  <r>
    <s v="ORDER00694"/>
    <x v="56"/>
    <d v="2025-05-04T08:13:56"/>
    <s v="Poster"/>
    <n v="14.49"/>
  </r>
  <r>
    <s v="ORDER00695"/>
    <x v="111"/>
    <d v="2025-09-11T08:13:56"/>
    <s v="Canvas Print"/>
    <n v="44.06"/>
  </r>
  <r>
    <s v="ORDER00696"/>
    <x v="149"/>
    <d v="2025-04-26T08:13:56"/>
    <s v="Flyer"/>
    <n v="8.08"/>
  </r>
  <r>
    <s v="ORDER00697"/>
    <x v="10"/>
    <d v="2024-11-27T08:13:56"/>
    <s v="Greeting Card"/>
    <n v="4.54"/>
  </r>
  <r>
    <s v="ORDER00698"/>
    <x v="260"/>
    <d v="2025-06-07T08:13:56"/>
    <s v="Canvas Print"/>
    <n v="40.28"/>
  </r>
  <r>
    <s v="ORDER00699"/>
    <x v="253"/>
    <d v="2025-10-22T08:13:56"/>
    <s v="Poster"/>
    <n v="13.61"/>
  </r>
  <r>
    <s v="ORDER00700"/>
    <x v="222"/>
    <d v="2024-12-10T08:13:56"/>
    <s v="Business Card"/>
    <n v="12.62"/>
  </r>
  <r>
    <s v="ORDER00701"/>
    <x v="89"/>
    <d v="2025-06-15T08:13:56"/>
    <s v="Poster"/>
    <n v="14.89"/>
  </r>
  <r>
    <s v="ORDER00702"/>
    <x v="95"/>
    <d v="2025-05-10T08:13:56"/>
    <s v="Poster"/>
    <n v="14.17"/>
  </r>
  <r>
    <s v="ORDER00703"/>
    <x v="156"/>
    <d v="2025-03-24T08:13:56"/>
    <s v="Flyer"/>
    <n v="11.8"/>
  </r>
  <r>
    <s v="ORDER00704"/>
    <x v="41"/>
    <d v="2025-05-19T08:13:56"/>
    <s v="Flyer"/>
    <n v="10.53"/>
  </r>
  <r>
    <s v="ORDER00705"/>
    <x v="204"/>
    <d v="2025-05-30T08:13:56"/>
    <s v="Canvas Print"/>
    <n v="34.08"/>
  </r>
  <r>
    <s v="ORDER00706"/>
    <x v="138"/>
    <d v="2025-06-07T08:13:56"/>
    <s v="Greeting Card"/>
    <n v="5.12"/>
  </r>
  <r>
    <s v="ORDER00707"/>
    <x v="204"/>
    <d v="2025-06-27T08:13:56"/>
    <s v="Canvas Print"/>
    <n v="44.49"/>
  </r>
  <r>
    <s v="ORDER00708"/>
    <x v="106"/>
    <d v="2024-12-15T08:13:56"/>
    <s v="Photo Book"/>
    <n v="27.08"/>
  </r>
  <r>
    <s v="ORDER00709"/>
    <x v="75"/>
    <d v="2024-12-04T08:13:56"/>
    <s v="Poster"/>
    <n v="13.03"/>
  </r>
  <r>
    <s v="ORDER00710"/>
    <x v="188"/>
    <d v="2025-07-10T08:13:56"/>
    <s v="Business Card"/>
    <n v="14.27"/>
  </r>
  <r>
    <s v="ORDER00711"/>
    <x v="153"/>
    <d v="2025-01-20T08:13:56"/>
    <s v="Poster"/>
    <n v="14.69"/>
  </r>
  <r>
    <s v="ORDER00712"/>
    <x v="100"/>
    <d v="2025-07-13T08:13:56"/>
    <s v="Poster"/>
    <n v="12.95"/>
  </r>
  <r>
    <s v="ORDER00713"/>
    <x v="268"/>
    <d v="2025-05-15T08:13:56"/>
    <s v="Canvas Print"/>
    <n v="34.880000000000003"/>
  </r>
  <r>
    <s v="ORDER00714"/>
    <x v="73"/>
    <d v="2025-08-29T08:13:56"/>
    <s v="Business Card"/>
    <n v="10.07"/>
  </r>
  <r>
    <s v="ORDER00715"/>
    <x v="269"/>
    <d v="2024-11-09T08:13:56"/>
    <s v="Business Card"/>
    <n v="13.46"/>
  </r>
  <r>
    <s v="ORDER00716"/>
    <x v="162"/>
    <d v="2025-09-07T08:13:56"/>
    <s v="Business Card"/>
    <n v="10.19"/>
  </r>
  <r>
    <s v="ORDER00717"/>
    <x v="214"/>
    <d v="2025-08-12T08:13:56"/>
    <s v="Canvas Print"/>
    <n v="34"/>
  </r>
  <r>
    <s v="ORDER00718"/>
    <x v="42"/>
    <d v="2025-06-29T08:13:56"/>
    <s v="Poster"/>
    <n v="17.100000000000001"/>
  </r>
  <r>
    <s v="ORDER00719"/>
    <x v="270"/>
    <d v="2025-07-08T08:13:56"/>
    <s v="Canvas Print"/>
    <n v="37.51"/>
  </r>
  <r>
    <s v="ORDER00720"/>
    <x v="157"/>
    <d v="2025-10-30T08:13:56"/>
    <s v="Flyer"/>
    <n v="8.1199999999999992"/>
  </r>
  <r>
    <s v="ORDER00721"/>
    <x v="122"/>
    <d v="2024-11-04T08:13:56"/>
    <s v="Flyer"/>
    <n v="8.2100000000000009"/>
  </r>
  <r>
    <s v="ORDER00722"/>
    <x v="116"/>
    <d v="2025-02-26T08:13:56"/>
    <s v="Canvas Print"/>
    <n v="34.270000000000003"/>
  </r>
  <r>
    <s v="ORDER00723"/>
    <x v="236"/>
    <d v="2025-08-15T08:13:56"/>
    <s v="Business Card"/>
    <n v="10.62"/>
  </r>
  <r>
    <s v="ORDER00724"/>
    <x v="169"/>
    <d v="2025-01-03T08:13:56"/>
    <s v="Poster"/>
    <n v="15.99"/>
  </r>
  <r>
    <s v="ORDER00725"/>
    <x v="135"/>
    <d v="2025-03-25T08:13:56"/>
    <s v="Canvas Print"/>
    <n v="34.520000000000003"/>
  </r>
  <r>
    <s v="ORDER00726"/>
    <x v="102"/>
    <d v="2025-06-11T08:13:56"/>
    <s v="Canvas Print"/>
    <n v="33.9"/>
  </r>
  <r>
    <s v="ORDER00727"/>
    <x v="75"/>
    <d v="2025-06-26T08:13:56"/>
    <s v="Canvas Print"/>
    <n v="44.24"/>
  </r>
  <r>
    <s v="ORDER00728"/>
    <x v="21"/>
    <d v="2025-04-25T08:13:56"/>
    <s v="Photo Book"/>
    <n v="26.71"/>
  </r>
  <r>
    <s v="ORDER00729"/>
    <x v="261"/>
    <d v="2025-07-24T08:13:56"/>
    <s v="Flyer"/>
    <n v="9.74"/>
  </r>
  <r>
    <s v="ORDER00730"/>
    <x v="271"/>
    <d v="2025-10-06T08:13:56"/>
    <s v="Business Card"/>
    <n v="12.24"/>
  </r>
  <r>
    <s v="ORDER00731"/>
    <x v="30"/>
    <d v="2025-08-08T08:13:56"/>
    <s v="Greeting Card"/>
    <n v="4.62"/>
  </r>
  <r>
    <s v="ORDER00732"/>
    <x v="67"/>
    <d v="2025-01-01T08:13:56"/>
    <s v="Business Card"/>
    <n v="11.92"/>
  </r>
  <r>
    <s v="ORDER00733"/>
    <x v="264"/>
    <d v="2025-06-04T08:13:56"/>
    <s v="Greeting Card"/>
    <n v="5.01"/>
  </r>
  <r>
    <s v="ORDER00734"/>
    <x v="88"/>
    <d v="2025-10-07T08:13:56"/>
    <s v="Photo Book"/>
    <n v="23.87"/>
  </r>
  <r>
    <s v="ORDER00735"/>
    <x v="178"/>
    <d v="2025-09-10T08:13:56"/>
    <s v="Canvas Print"/>
    <n v="46.51"/>
  </r>
  <r>
    <s v="ORDER00736"/>
    <x v="272"/>
    <d v="2025-08-09T08:13:56"/>
    <s v="Photo Book"/>
    <n v="20.16"/>
  </r>
  <r>
    <s v="ORDER00737"/>
    <x v="163"/>
    <d v="2025-04-25T08:13:56"/>
    <s v="Photo Book"/>
    <n v="27.82"/>
  </r>
  <r>
    <s v="ORDER00738"/>
    <x v="112"/>
    <d v="2025-02-05T08:13:56"/>
    <s v="Poster"/>
    <n v="12.75"/>
  </r>
  <r>
    <s v="ORDER00739"/>
    <x v="263"/>
    <d v="2025-02-12T08:13:56"/>
    <s v="Flyer"/>
    <n v="11.19"/>
  </r>
  <r>
    <s v="ORDER00740"/>
    <x v="114"/>
    <d v="2025-02-06T08:13:56"/>
    <s v="Greeting Card"/>
    <n v="5.23"/>
  </r>
  <r>
    <s v="ORDER00741"/>
    <x v="145"/>
    <d v="2025-09-06T08:13:56"/>
    <s v="Canvas Print"/>
    <n v="45.49"/>
  </r>
  <r>
    <s v="ORDER00742"/>
    <x v="234"/>
    <d v="2024-11-05T08:13:56"/>
    <s v="Greeting Card"/>
    <n v="4.2"/>
  </r>
  <r>
    <s v="ORDER00743"/>
    <x v="197"/>
    <d v="2025-05-15T08:13:56"/>
    <s v="Business Card"/>
    <n v="12.28"/>
  </r>
  <r>
    <s v="ORDER00744"/>
    <x v="103"/>
    <d v="2025-10-16T08:13:56"/>
    <s v="Greeting Card"/>
    <n v="5"/>
  </r>
  <r>
    <s v="ORDER00745"/>
    <x v="68"/>
    <d v="2025-03-12T08:13:56"/>
    <s v="Business Card"/>
    <n v="12.99"/>
  </r>
  <r>
    <s v="ORDER00746"/>
    <x v="273"/>
    <d v="2025-10-23T08:13:56"/>
    <s v="Flyer"/>
    <n v="10.14"/>
  </r>
  <r>
    <s v="ORDER00747"/>
    <x v="230"/>
    <d v="2025-07-16T08:13:56"/>
    <s v="Business Card"/>
    <n v="12.2"/>
  </r>
  <r>
    <s v="ORDER00748"/>
    <x v="39"/>
    <d v="2024-11-22T08:13:56"/>
    <s v="Greeting Card"/>
    <n v="4.8600000000000003"/>
  </r>
  <r>
    <s v="ORDER00749"/>
    <x v="75"/>
    <d v="2024-12-22T08:13:56"/>
    <s v="Greeting Card"/>
    <n v="4.62"/>
  </r>
  <r>
    <s v="ORDER00750"/>
    <x v="238"/>
    <d v="2025-04-13T08:13:56"/>
    <s v="Business Card"/>
    <n v="11.91"/>
  </r>
  <r>
    <s v="ORDER00751"/>
    <x v="175"/>
    <d v="2025-05-20T08:13:56"/>
    <s v="Photo Book"/>
    <n v="21.18"/>
  </r>
  <r>
    <s v="ORDER00752"/>
    <x v="44"/>
    <d v="2025-01-21T08:13:56"/>
    <s v="Flyer"/>
    <n v="11.85"/>
  </r>
  <r>
    <s v="ORDER00753"/>
    <x v="186"/>
    <d v="2025-03-24T08:13:56"/>
    <s v="Poster"/>
    <n v="16.29"/>
  </r>
  <r>
    <s v="ORDER00754"/>
    <x v="135"/>
    <d v="2025-01-23T08:13:56"/>
    <s v="Canvas Print"/>
    <n v="47.24"/>
  </r>
  <r>
    <s v="ORDER00755"/>
    <x v="37"/>
    <d v="2025-01-16T08:13:56"/>
    <s v="Greeting Card"/>
    <n v="4.45"/>
  </r>
  <r>
    <s v="ORDER00756"/>
    <x v="127"/>
    <d v="2024-10-31T08:13:56"/>
    <s v="Canvas Print"/>
    <n v="46.07"/>
  </r>
  <r>
    <s v="ORDER00757"/>
    <x v="172"/>
    <d v="2024-12-20T08:13:56"/>
    <s v="Poster"/>
    <n v="16.850000000000001"/>
  </r>
  <r>
    <s v="ORDER00758"/>
    <x v="259"/>
    <d v="2025-04-21T08:13:56"/>
    <s v="Canvas Print"/>
    <n v="42.83"/>
  </r>
  <r>
    <s v="ORDER00759"/>
    <x v="50"/>
    <d v="2025-05-23T08:13:56"/>
    <s v="Poster"/>
    <n v="15.75"/>
  </r>
  <r>
    <s v="ORDER00760"/>
    <x v="77"/>
    <d v="2025-07-17T08:13:56"/>
    <s v="Business Card"/>
    <n v="11.12"/>
  </r>
  <r>
    <s v="ORDER00761"/>
    <x v="139"/>
    <d v="2025-08-14T08:13:56"/>
    <s v="Photo Book"/>
    <n v="28.16"/>
  </r>
  <r>
    <s v="ORDER00762"/>
    <x v="274"/>
    <d v="2024-12-03T08:13:56"/>
    <s v="Greeting Card"/>
    <n v="5"/>
  </r>
  <r>
    <s v="ORDER00763"/>
    <x v="275"/>
    <d v="2025-10-13T08:13:56"/>
    <s v="Poster"/>
    <n v="12.43"/>
  </r>
  <r>
    <s v="ORDER00764"/>
    <x v="138"/>
    <d v="2025-02-02T08:13:56"/>
    <s v="Canvas Print"/>
    <n v="37.01"/>
  </r>
  <r>
    <s v="ORDER00765"/>
    <x v="276"/>
    <d v="2025-01-10T08:13:56"/>
    <s v="Greeting Card"/>
    <n v="5.87"/>
  </r>
  <r>
    <s v="ORDER00766"/>
    <x v="41"/>
    <d v="2024-12-08T08:13:56"/>
    <s v="Photo Book"/>
    <n v="28.51"/>
  </r>
  <r>
    <s v="ORDER00767"/>
    <x v="158"/>
    <d v="2025-04-02T08:13:56"/>
    <s v="Business Card"/>
    <n v="14.31"/>
  </r>
  <r>
    <s v="ORDER00768"/>
    <x v="88"/>
    <d v="2025-07-07T08:13:56"/>
    <s v="Greeting Card"/>
    <n v="5.26"/>
  </r>
  <r>
    <s v="ORDER00769"/>
    <x v="182"/>
    <d v="2025-04-10T08:13:56"/>
    <s v="Poster"/>
    <n v="13.49"/>
  </r>
  <r>
    <s v="ORDER00770"/>
    <x v="56"/>
    <d v="2025-02-25T08:13:56"/>
    <s v="Photo Book"/>
    <n v="21.63"/>
  </r>
  <r>
    <s v="ORDER00771"/>
    <x v="41"/>
    <d v="2025-07-16T08:13:56"/>
    <s v="Canvas Print"/>
    <n v="34.99"/>
  </r>
  <r>
    <s v="ORDER00772"/>
    <x v="59"/>
    <d v="2025-09-01T08:13:56"/>
    <s v="Photo Book"/>
    <n v="20.2"/>
  </r>
  <r>
    <s v="ORDER00773"/>
    <x v="10"/>
    <d v="2025-07-25T08:13:56"/>
    <s v="Photo Book"/>
    <n v="23.91"/>
  </r>
  <r>
    <s v="ORDER00774"/>
    <x v="9"/>
    <d v="2024-12-23T08:13:56"/>
    <s v="Flyer"/>
    <n v="8.77"/>
  </r>
  <r>
    <s v="ORDER00775"/>
    <x v="59"/>
    <d v="2025-06-23T08:13:56"/>
    <s v="Photo Book"/>
    <n v="24.12"/>
  </r>
  <r>
    <s v="ORDER00776"/>
    <x v="49"/>
    <d v="2025-06-09T08:13:56"/>
    <s v="Photo Book"/>
    <n v="29.35"/>
  </r>
  <r>
    <s v="ORDER00777"/>
    <x v="277"/>
    <d v="2025-07-08T08:13:56"/>
    <s v="Greeting Card"/>
    <n v="4.8600000000000003"/>
  </r>
  <r>
    <s v="ORDER00778"/>
    <x v="273"/>
    <d v="2025-09-08T08:13:56"/>
    <s v="Canvas Print"/>
    <n v="46.05"/>
  </r>
  <r>
    <s v="ORDER00779"/>
    <x v="249"/>
    <d v="2025-02-19T08:13:56"/>
    <s v="Greeting Card"/>
    <n v="5.21"/>
  </r>
  <r>
    <s v="ORDER00780"/>
    <x v="26"/>
    <d v="2025-07-12T08:13:56"/>
    <s v="Greeting Card"/>
    <n v="4.49"/>
  </r>
  <r>
    <s v="ORDER00781"/>
    <x v="4"/>
    <d v="2025-08-29T08:13:56"/>
    <s v="Poster"/>
    <n v="14.14"/>
  </r>
  <r>
    <s v="ORDER00782"/>
    <x v="193"/>
    <d v="2025-05-25T08:13:56"/>
    <s v="Greeting Card"/>
    <n v="4.17"/>
  </r>
  <r>
    <s v="ORDER00783"/>
    <x v="92"/>
    <d v="2025-06-16T08:13:56"/>
    <s v="Flyer"/>
    <n v="9.33"/>
  </r>
  <r>
    <s v="ORDER00784"/>
    <x v="3"/>
    <d v="2025-10-06T08:13:56"/>
    <s v="Flyer"/>
    <n v="10.71"/>
  </r>
  <r>
    <s v="ORDER00785"/>
    <x v="161"/>
    <d v="2025-01-04T08:13:56"/>
    <s v="Poster"/>
    <n v="12.43"/>
  </r>
  <r>
    <s v="ORDER00786"/>
    <x v="65"/>
    <d v="2025-01-13T08:13:56"/>
    <s v="Business Card"/>
    <n v="10.59"/>
  </r>
  <r>
    <s v="ORDER00787"/>
    <x v="27"/>
    <d v="2025-02-10T08:13:56"/>
    <s v="Canvas Print"/>
    <n v="38.1"/>
  </r>
  <r>
    <s v="ORDER00788"/>
    <x v="208"/>
    <d v="2025-05-10T08:13:56"/>
    <s v="Canvas Print"/>
    <n v="47.71"/>
  </r>
  <r>
    <s v="ORDER00789"/>
    <x v="261"/>
    <d v="2025-07-09T08:13:56"/>
    <s v="Greeting Card"/>
    <n v="5.57"/>
  </r>
  <r>
    <s v="ORDER00790"/>
    <x v="136"/>
    <d v="2025-06-13T08:13:56"/>
    <s v="Greeting Card"/>
    <n v="5.47"/>
  </r>
  <r>
    <s v="ORDER00791"/>
    <x v="97"/>
    <d v="2025-08-20T08:13:56"/>
    <s v="Business Card"/>
    <n v="10.16"/>
  </r>
  <r>
    <s v="ORDER00792"/>
    <x v="87"/>
    <d v="2025-09-01T08:13:56"/>
    <s v="Greeting Card"/>
    <n v="5.56"/>
  </r>
  <r>
    <s v="ORDER00793"/>
    <x v="278"/>
    <d v="2025-02-05T08:13:56"/>
    <s v="Canvas Print"/>
    <n v="44.56"/>
  </r>
  <r>
    <s v="ORDER00794"/>
    <x v="134"/>
    <d v="2025-10-03T08:13:56"/>
    <s v="Photo Book"/>
    <n v="26.01"/>
  </r>
  <r>
    <s v="ORDER00795"/>
    <x v="86"/>
    <d v="2025-08-12T08:13:56"/>
    <s v="Flyer"/>
    <n v="11.96"/>
  </r>
  <r>
    <s v="ORDER00796"/>
    <x v="22"/>
    <d v="2025-09-30T08:13:56"/>
    <s v="Photo Book"/>
    <n v="23.25"/>
  </r>
  <r>
    <s v="ORDER00797"/>
    <x v="190"/>
    <d v="2025-10-12T08:13:56"/>
    <s v="Photo Book"/>
    <n v="29.41"/>
  </r>
  <r>
    <s v="ORDER00798"/>
    <x v="237"/>
    <d v="2025-09-03T08:13:56"/>
    <s v="Canvas Print"/>
    <n v="46.64"/>
  </r>
  <r>
    <s v="ORDER00799"/>
    <x v="279"/>
    <d v="2025-07-06T08:13:56"/>
    <s v="Photo Book"/>
    <n v="20.11"/>
  </r>
  <r>
    <s v="ORDER00800"/>
    <x v="228"/>
    <d v="2025-04-14T08:13:56"/>
    <s v="Business Card"/>
    <n v="11.76"/>
  </r>
  <r>
    <s v="ORDER00801"/>
    <x v="128"/>
    <d v="2025-09-30T08:13:56"/>
    <s v="Poster"/>
    <n v="17.86"/>
  </r>
  <r>
    <s v="ORDER00802"/>
    <x v="254"/>
    <d v="2024-11-29T08:13:56"/>
    <s v="Greeting Card"/>
    <n v="4.21"/>
  </r>
  <r>
    <s v="ORDER00803"/>
    <x v="31"/>
    <d v="2025-07-04T08:13:56"/>
    <s v="Poster"/>
    <n v="15.29"/>
  </r>
  <r>
    <s v="ORDER00804"/>
    <x v="147"/>
    <d v="2025-02-13T08:13:56"/>
    <s v="Flyer"/>
    <n v="11.92"/>
  </r>
  <r>
    <s v="ORDER00805"/>
    <x v="206"/>
    <d v="2024-12-20T08:13:56"/>
    <s v="Greeting Card"/>
    <n v="5.1100000000000003"/>
  </r>
  <r>
    <s v="ORDER00806"/>
    <x v="117"/>
    <d v="2025-01-19T08:13:56"/>
    <s v="Photo Book"/>
    <n v="21.9"/>
  </r>
  <r>
    <s v="ORDER00807"/>
    <x v="271"/>
    <d v="2025-03-12T08:13:56"/>
    <s v="Flyer"/>
    <n v="10.33"/>
  </r>
  <r>
    <s v="ORDER00808"/>
    <x v="202"/>
    <d v="2025-08-11T08:13:56"/>
    <s v="Greeting Card"/>
    <n v="4.41"/>
  </r>
  <r>
    <s v="ORDER00809"/>
    <x v="111"/>
    <d v="2025-03-17T08:13:56"/>
    <s v="Business Card"/>
    <n v="12.09"/>
  </r>
  <r>
    <s v="ORDER00810"/>
    <x v="9"/>
    <d v="2025-05-02T08:13:56"/>
    <s v="Business Card"/>
    <n v="9.9600000000000009"/>
  </r>
  <r>
    <s v="ORDER00811"/>
    <x v="88"/>
    <d v="2025-09-25T08:13:56"/>
    <s v="Business Card"/>
    <n v="12.51"/>
  </r>
  <r>
    <s v="ORDER00812"/>
    <x v="163"/>
    <d v="2025-07-30T08:13:56"/>
    <s v="Business Card"/>
    <n v="12.08"/>
  </r>
  <r>
    <s v="ORDER00813"/>
    <x v="77"/>
    <d v="2025-10-05T08:13:56"/>
    <s v="Photo Book"/>
    <n v="27.4"/>
  </r>
  <r>
    <s v="ORDER00814"/>
    <x v="115"/>
    <d v="2025-01-07T08:13:56"/>
    <s v="Poster"/>
    <n v="15.78"/>
  </r>
  <r>
    <s v="ORDER00815"/>
    <x v="22"/>
    <d v="2024-12-03T08:13:56"/>
    <s v="Greeting Card"/>
    <n v="5.0999999999999996"/>
  </r>
  <r>
    <s v="ORDER00816"/>
    <x v="162"/>
    <d v="2025-07-19T08:13:56"/>
    <s v="Photo Book"/>
    <n v="26.9"/>
  </r>
  <r>
    <s v="ORDER00817"/>
    <x v="21"/>
    <d v="2024-12-22T08:13:56"/>
    <s v="Business Card"/>
    <n v="10.29"/>
  </r>
  <r>
    <s v="ORDER00818"/>
    <x v="52"/>
    <d v="2025-05-23T08:13:56"/>
    <s v="Poster"/>
    <n v="15.57"/>
  </r>
  <r>
    <s v="ORDER00819"/>
    <x v="218"/>
    <d v="2025-03-05T08:13:56"/>
    <s v="Flyer"/>
    <n v="8.69"/>
  </r>
  <r>
    <s v="ORDER00820"/>
    <x v="169"/>
    <d v="2025-06-22T08:13:56"/>
    <s v="Flyer"/>
    <n v="11.7"/>
  </r>
  <r>
    <s v="ORDER00821"/>
    <x v="1"/>
    <d v="2024-12-12T08:13:56"/>
    <s v="Flyer"/>
    <n v="8.27"/>
  </r>
  <r>
    <s v="ORDER00822"/>
    <x v="43"/>
    <d v="2025-06-27T08:13:56"/>
    <s v="Business Card"/>
    <n v="11.67"/>
  </r>
  <r>
    <s v="ORDER00823"/>
    <x v="246"/>
    <d v="2025-02-18T08:13:56"/>
    <s v="Flyer"/>
    <n v="10.78"/>
  </r>
  <r>
    <s v="ORDER00824"/>
    <x v="204"/>
    <d v="2025-07-06T08:13:56"/>
    <s v="Canvas Print"/>
    <n v="39.33"/>
  </r>
  <r>
    <s v="ORDER00825"/>
    <x v="278"/>
    <d v="2025-03-30T08:13:56"/>
    <s v="Greeting Card"/>
    <n v="4.18"/>
  </r>
  <r>
    <s v="ORDER00826"/>
    <x v="192"/>
    <d v="2025-05-01T08:13:56"/>
    <s v="Greeting Card"/>
    <n v="5.1100000000000003"/>
  </r>
  <r>
    <s v="ORDER00827"/>
    <x v="251"/>
    <d v="2025-10-01T08:13:56"/>
    <s v="Business Card"/>
    <n v="12.68"/>
  </r>
  <r>
    <s v="ORDER00828"/>
    <x v="69"/>
    <d v="2025-02-02T08:13:56"/>
    <s v="Canvas Print"/>
    <n v="43.26"/>
  </r>
  <r>
    <s v="ORDER00829"/>
    <x v="111"/>
    <d v="2024-11-07T08:13:56"/>
    <s v="Photo Book"/>
    <n v="23.73"/>
  </r>
  <r>
    <s v="ORDER00830"/>
    <x v="78"/>
    <d v="2025-10-25T08:13:56"/>
    <s v="Photo Book"/>
    <n v="25.64"/>
  </r>
  <r>
    <s v="ORDER00831"/>
    <x v="280"/>
    <d v="2025-05-02T08:13:56"/>
    <s v="Flyer"/>
    <n v="9.8000000000000007"/>
  </r>
  <r>
    <s v="ORDER00832"/>
    <x v="200"/>
    <d v="2025-08-07T08:13:56"/>
    <s v="Poster"/>
    <n v="16.03"/>
  </r>
  <r>
    <s v="ORDER00833"/>
    <x v="115"/>
    <d v="2025-05-13T08:13:56"/>
    <s v="Photo Book"/>
    <n v="25.84"/>
  </r>
  <r>
    <s v="ORDER00834"/>
    <x v="219"/>
    <d v="2025-10-17T08:13:56"/>
    <s v="Poster"/>
    <n v="15.15"/>
  </r>
  <r>
    <s v="ORDER00835"/>
    <x v="51"/>
    <d v="2025-05-13T08:13:56"/>
    <s v="Greeting Card"/>
    <n v="4.5"/>
  </r>
  <r>
    <s v="ORDER00836"/>
    <x v="148"/>
    <d v="2025-04-03T08:13:56"/>
    <s v="Poster"/>
    <n v="12.01"/>
  </r>
  <r>
    <s v="ORDER00837"/>
    <x v="70"/>
    <d v="2025-01-31T08:13:56"/>
    <s v="Greeting Card"/>
    <n v="4.3499999999999996"/>
  </r>
  <r>
    <s v="ORDER00838"/>
    <x v="2"/>
    <d v="2025-04-08T08:13:56"/>
    <s v="Canvas Print"/>
    <n v="33.869999999999997"/>
  </r>
  <r>
    <s v="ORDER00839"/>
    <x v="66"/>
    <d v="2024-12-30T08:13:56"/>
    <s v="Canvas Print"/>
    <n v="39.19"/>
  </r>
  <r>
    <s v="ORDER00840"/>
    <x v="151"/>
    <d v="2025-03-01T08:13:56"/>
    <s v="Business Card"/>
    <n v="12.54"/>
  </r>
  <r>
    <s v="ORDER00841"/>
    <x v="280"/>
    <d v="2024-12-20T08:13:56"/>
    <s v="Business Card"/>
    <n v="10.62"/>
  </r>
  <r>
    <s v="ORDER00842"/>
    <x v="160"/>
    <d v="2025-08-03T08:13:56"/>
    <s v="Flyer"/>
    <n v="11.76"/>
  </r>
  <r>
    <s v="ORDER00843"/>
    <x v="139"/>
    <d v="2024-11-04T08:13:56"/>
    <s v="Photo Book"/>
    <n v="20.07"/>
  </r>
  <r>
    <s v="ORDER00844"/>
    <x v="199"/>
    <d v="2025-01-30T08:13:56"/>
    <s v="Flyer"/>
    <n v="11.09"/>
  </r>
  <r>
    <s v="ORDER00845"/>
    <x v="134"/>
    <d v="2025-04-18T08:13:56"/>
    <s v="Greeting Card"/>
    <n v="5.25"/>
  </r>
  <r>
    <s v="ORDER00846"/>
    <x v="57"/>
    <d v="2025-09-12T08:13:56"/>
    <s v="Flyer"/>
    <n v="9.49"/>
  </r>
  <r>
    <s v="ORDER00847"/>
    <x v="32"/>
    <d v="2024-11-21T08:13:56"/>
    <s v="Poster"/>
    <n v="12.3"/>
  </r>
  <r>
    <s v="ORDER00848"/>
    <x v="63"/>
    <d v="2025-09-21T08:13:56"/>
    <s v="Greeting Card"/>
    <n v="5.25"/>
  </r>
  <r>
    <s v="ORDER00849"/>
    <x v="128"/>
    <d v="2024-10-31T08:13:56"/>
    <s v="Business Card"/>
    <n v="11.45"/>
  </r>
  <r>
    <s v="ORDER00850"/>
    <x v="281"/>
    <d v="2025-03-12T08:13:56"/>
    <s v="Canvas Print"/>
    <n v="46.98"/>
  </r>
  <r>
    <s v="ORDER00851"/>
    <x v="191"/>
    <d v="2025-06-20T08:13:56"/>
    <s v="Business Card"/>
    <n v="12.2"/>
  </r>
  <r>
    <s v="ORDER00852"/>
    <x v="162"/>
    <d v="2024-11-11T08:13:56"/>
    <s v="Photo Book"/>
    <n v="29.4"/>
  </r>
  <r>
    <s v="ORDER00853"/>
    <x v="83"/>
    <d v="2025-10-11T08:13:56"/>
    <s v="Greeting Card"/>
    <n v="4.4400000000000004"/>
  </r>
  <r>
    <s v="ORDER00854"/>
    <x v="131"/>
    <d v="2024-12-15T08:13:56"/>
    <s v="Greeting Card"/>
    <n v="5.45"/>
  </r>
  <r>
    <s v="ORDER00855"/>
    <x v="49"/>
    <d v="2024-12-03T08:13:56"/>
    <s v="Poster"/>
    <n v="15.7"/>
  </r>
  <r>
    <s v="ORDER00856"/>
    <x v="209"/>
    <d v="2025-01-16T08:13:56"/>
    <s v="Photo Book"/>
    <n v="27.39"/>
  </r>
  <r>
    <s v="ORDER00857"/>
    <x v="71"/>
    <d v="2025-06-05T08:13:56"/>
    <s v="Canvas Print"/>
    <n v="35.43"/>
  </r>
  <r>
    <s v="ORDER00858"/>
    <x v="195"/>
    <d v="2025-08-27T08:13:56"/>
    <s v="Greeting Card"/>
    <n v="5.33"/>
  </r>
  <r>
    <s v="ORDER00859"/>
    <x v="20"/>
    <d v="2025-01-11T08:13:56"/>
    <s v="Greeting Card"/>
    <n v="5"/>
  </r>
  <r>
    <s v="ORDER00860"/>
    <x v="58"/>
    <d v="2025-08-08T08:13:56"/>
    <s v="Poster"/>
    <n v="16.46"/>
  </r>
  <r>
    <s v="ORDER00861"/>
    <x v="22"/>
    <d v="2025-07-06T08:13:56"/>
    <s v="Flyer"/>
    <n v="9.31"/>
  </r>
  <r>
    <s v="ORDER00862"/>
    <x v="153"/>
    <d v="2024-12-16T08:13:56"/>
    <s v="Canvas Print"/>
    <n v="46.24"/>
  </r>
  <r>
    <s v="ORDER00863"/>
    <x v="92"/>
    <d v="2025-02-28T08:13:56"/>
    <s v="Business Card"/>
    <n v="10"/>
  </r>
  <r>
    <s v="ORDER00864"/>
    <x v="223"/>
    <d v="2025-06-01T08:13:56"/>
    <s v="Photo Book"/>
    <n v="28.07"/>
  </r>
  <r>
    <s v="ORDER00865"/>
    <x v="166"/>
    <d v="2025-06-26T08:13:56"/>
    <s v="Greeting Card"/>
    <n v="5.72"/>
  </r>
  <r>
    <s v="ORDER00866"/>
    <x v="17"/>
    <d v="2024-12-25T08:13:56"/>
    <s v="Greeting Card"/>
    <n v="5.63"/>
  </r>
  <r>
    <s v="ORDER00867"/>
    <x v="107"/>
    <d v="2025-10-15T08:13:56"/>
    <s v="Business Card"/>
    <n v="12.06"/>
  </r>
  <r>
    <s v="ORDER00868"/>
    <x v="272"/>
    <d v="2025-02-14T08:13:56"/>
    <s v="Canvas Print"/>
    <n v="39.01"/>
  </r>
  <r>
    <s v="ORDER00869"/>
    <x v="252"/>
    <d v="2025-09-14T08:13:56"/>
    <s v="Flyer"/>
    <n v="11.99"/>
  </r>
  <r>
    <s v="ORDER00870"/>
    <x v="46"/>
    <d v="2024-12-17T08:13:56"/>
    <s v="Greeting Card"/>
    <n v="4.46"/>
  </r>
  <r>
    <s v="ORDER00871"/>
    <x v="198"/>
    <d v="2024-12-30T08:13:56"/>
    <s v="Canvas Print"/>
    <n v="40.75"/>
  </r>
  <r>
    <s v="ORDER00872"/>
    <x v="1"/>
    <d v="2025-10-02T08:13:56"/>
    <s v="Business Card"/>
    <n v="12.82"/>
  </r>
  <r>
    <s v="ORDER00873"/>
    <x v="240"/>
    <d v="2024-11-25T08:13:56"/>
    <s v="Poster"/>
    <n v="16.21"/>
  </r>
  <r>
    <s v="ORDER00874"/>
    <x v="36"/>
    <d v="2025-08-18T08:13:56"/>
    <s v="Flyer"/>
    <n v="8.82"/>
  </r>
  <r>
    <s v="ORDER00875"/>
    <x v="212"/>
    <d v="2025-07-14T08:13:56"/>
    <s v="Photo Book"/>
    <n v="26.54"/>
  </r>
  <r>
    <s v="ORDER00876"/>
    <x v="216"/>
    <d v="2024-11-07T08:13:56"/>
    <s v="Greeting Card"/>
    <n v="5.64"/>
  </r>
  <r>
    <s v="ORDER00877"/>
    <x v="198"/>
    <d v="2025-02-20T08:13:56"/>
    <s v="Canvas Print"/>
    <n v="32.799999999999997"/>
  </r>
  <r>
    <s v="ORDER00878"/>
    <x v="218"/>
    <d v="2025-10-20T08:13:56"/>
    <s v="Poster"/>
    <n v="17.47"/>
  </r>
  <r>
    <s v="ORDER00879"/>
    <x v="247"/>
    <d v="2025-07-10T08:13:56"/>
    <s v="Photo Book"/>
    <n v="20.3"/>
  </r>
  <r>
    <s v="ORDER00880"/>
    <x v="67"/>
    <d v="2025-04-28T08:13:56"/>
    <s v="Canvas Print"/>
    <n v="37.700000000000003"/>
  </r>
  <r>
    <s v="ORDER00881"/>
    <x v="180"/>
    <d v="2025-05-25T08:13:56"/>
    <s v="Canvas Print"/>
    <n v="32.25"/>
  </r>
  <r>
    <s v="ORDER00882"/>
    <x v="203"/>
    <d v="2025-08-29T08:13:56"/>
    <s v="Photo Book"/>
    <n v="20.77"/>
  </r>
  <r>
    <s v="ORDER00883"/>
    <x v="35"/>
    <d v="2025-03-06T08:13:56"/>
    <s v="Poster"/>
    <n v="17.47"/>
  </r>
  <r>
    <s v="ORDER00884"/>
    <x v="203"/>
    <d v="2024-12-25T08:13:56"/>
    <s v="Business Card"/>
    <n v="11.3"/>
  </r>
  <r>
    <s v="ORDER00885"/>
    <x v="126"/>
    <d v="2025-06-01T08:13:56"/>
    <s v="Poster"/>
    <n v="14.55"/>
  </r>
  <r>
    <s v="ORDER00886"/>
    <x v="157"/>
    <d v="2024-11-13T08:13:56"/>
    <s v="Flyer"/>
    <n v="8.86"/>
  </r>
  <r>
    <s v="ORDER00887"/>
    <x v="282"/>
    <d v="2024-11-27T08:13:56"/>
    <s v="Greeting Card"/>
    <n v="5.19"/>
  </r>
  <r>
    <s v="ORDER00888"/>
    <x v="199"/>
    <d v="2025-01-16T08:13:56"/>
    <s v="Photo Book"/>
    <n v="25.95"/>
  </r>
  <r>
    <s v="ORDER00889"/>
    <x v="36"/>
    <d v="2025-06-03T08:13:56"/>
    <s v="Business Card"/>
    <n v="11.39"/>
  </r>
  <r>
    <s v="ORDER00890"/>
    <x v="30"/>
    <d v="2025-10-30T08:13:56"/>
    <s v="Photo Book"/>
    <n v="23.33"/>
  </r>
  <r>
    <s v="ORDER00891"/>
    <x v="47"/>
    <d v="2025-04-02T08:13:56"/>
    <s v="Photo Book"/>
    <n v="28.85"/>
  </r>
  <r>
    <s v="ORDER00892"/>
    <x v="221"/>
    <d v="2024-11-13T08:13:56"/>
    <s v="Poster"/>
    <n v="14.3"/>
  </r>
  <r>
    <s v="ORDER00893"/>
    <x v="20"/>
    <d v="2025-05-05T08:13:56"/>
    <s v="Greeting Card"/>
    <n v="4.99"/>
  </r>
  <r>
    <s v="ORDER00894"/>
    <x v="211"/>
    <d v="2025-09-07T08:13:56"/>
    <s v="Flyer"/>
    <n v="9.1300000000000008"/>
  </r>
  <r>
    <s v="ORDER00895"/>
    <x v="47"/>
    <d v="2024-11-06T08:13:56"/>
    <s v="Canvas Print"/>
    <n v="44.59"/>
  </r>
  <r>
    <s v="ORDER00896"/>
    <x v="261"/>
    <d v="2024-11-02T08:13:56"/>
    <s v="Canvas Print"/>
    <n v="38.36"/>
  </r>
  <r>
    <s v="ORDER00897"/>
    <x v="120"/>
    <d v="2025-02-18T08:13:56"/>
    <s v="Photo Book"/>
    <n v="25.14"/>
  </r>
  <r>
    <s v="ORDER00898"/>
    <x v="29"/>
    <d v="2025-06-25T08:13:56"/>
    <s v="Greeting Card"/>
    <n v="4.51"/>
  </r>
  <r>
    <s v="ORDER00899"/>
    <x v="203"/>
    <d v="2025-10-28T08:13:56"/>
    <s v="Business Card"/>
    <n v="14.34"/>
  </r>
  <r>
    <s v="ORDER00900"/>
    <x v="25"/>
    <d v="2025-06-26T08:13:56"/>
    <s v="Poster"/>
    <n v="13.75"/>
  </r>
  <r>
    <s v="ORDER00901"/>
    <x v="98"/>
    <d v="2025-07-31T08:13:56"/>
    <s v="Greeting Card"/>
    <n v="5.54"/>
  </r>
  <r>
    <s v="ORDER00902"/>
    <x v="13"/>
    <d v="2025-08-20T08:13:56"/>
    <s v="Greeting Card"/>
    <n v="4.8499999999999996"/>
  </r>
  <r>
    <s v="ORDER00903"/>
    <x v="222"/>
    <d v="2025-06-14T08:13:56"/>
    <s v="Poster"/>
    <n v="13.24"/>
  </r>
  <r>
    <s v="ORDER00904"/>
    <x v="152"/>
    <d v="2024-11-14T08:13:56"/>
    <s v="Photo Book"/>
    <n v="28"/>
  </r>
  <r>
    <s v="ORDER00905"/>
    <x v="77"/>
    <d v="2025-05-10T08:13:56"/>
    <s v="Greeting Card"/>
    <n v="4.67"/>
  </r>
  <r>
    <s v="ORDER00906"/>
    <x v="103"/>
    <d v="2025-02-26T08:13:56"/>
    <s v="Canvas Print"/>
    <n v="45.84"/>
  </r>
  <r>
    <s v="ORDER00907"/>
    <x v="269"/>
    <d v="2024-11-27T08:13:56"/>
    <s v="Poster"/>
    <n v="17.489999999999998"/>
  </r>
  <r>
    <s v="ORDER00908"/>
    <x v="104"/>
    <d v="2025-05-20T08:13:56"/>
    <s v="Business Card"/>
    <n v="13.73"/>
  </r>
  <r>
    <s v="ORDER00909"/>
    <x v="48"/>
    <d v="2024-12-08T08:13:56"/>
    <s v="Flyer"/>
    <n v="8.14"/>
  </r>
  <r>
    <s v="ORDER00910"/>
    <x v="204"/>
    <d v="2025-07-30T08:13:56"/>
    <s v="Photo Book"/>
    <n v="27.87"/>
  </r>
  <r>
    <s v="ORDER00911"/>
    <x v="87"/>
    <d v="2025-06-18T08:13:56"/>
    <s v="Poster"/>
    <n v="14.47"/>
  </r>
  <r>
    <s v="ORDER00912"/>
    <x v="88"/>
    <d v="2025-01-24T08:13:56"/>
    <s v="Flyer"/>
    <n v="11.49"/>
  </r>
  <r>
    <s v="ORDER00913"/>
    <x v="270"/>
    <d v="2025-03-05T08:13:56"/>
    <s v="Flyer"/>
    <n v="10.55"/>
  </r>
  <r>
    <s v="ORDER00914"/>
    <x v="68"/>
    <d v="2025-08-26T08:13:56"/>
    <s v="Business Card"/>
    <n v="13.6"/>
  </r>
  <r>
    <s v="ORDER00915"/>
    <x v="258"/>
    <d v="2024-11-24T08:13:56"/>
    <s v="Greeting Card"/>
    <n v="5"/>
  </r>
  <r>
    <s v="ORDER00916"/>
    <x v="283"/>
    <d v="2025-03-24T08:13:56"/>
    <s v="Business Card"/>
    <n v="12.17"/>
  </r>
  <r>
    <s v="ORDER00917"/>
    <x v="259"/>
    <d v="2024-11-12T08:13:56"/>
    <s v="Greeting Card"/>
    <n v="4.29"/>
  </r>
  <r>
    <s v="ORDER00918"/>
    <x v="228"/>
    <d v="2025-05-30T08:13:56"/>
    <s v="Greeting Card"/>
    <n v="5.57"/>
  </r>
  <r>
    <s v="ORDER00919"/>
    <x v="103"/>
    <d v="2024-11-24T08:13:56"/>
    <s v="Poster"/>
    <n v="14.52"/>
  </r>
  <r>
    <s v="ORDER00920"/>
    <x v="235"/>
    <d v="2025-01-06T08:13:56"/>
    <s v="Poster"/>
    <n v="15"/>
  </r>
  <r>
    <s v="ORDER00921"/>
    <x v="173"/>
    <d v="2025-01-05T08:13:56"/>
    <s v="Photo Book"/>
    <n v="27.85"/>
  </r>
  <r>
    <s v="ORDER00922"/>
    <x v="76"/>
    <d v="2025-06-20T08:13:56"/>
    <s v="Greeting Card"/>
    <n v="5.2"/>
  </r>
  <r>
    <s v="ORDER00923"/>
    <x v="284"/>
    <d v="2025-02-16T08:13:56"/>
    <s v="Flyer"/>
    <n v="8.8000000000000007"/>
  </r>
  <r>
    <s v="ORDER00924"/>
    <x v="93"/>
    <d v="2025-03-25T08:13:56"/>
    <s v="Canvas Print"/>
    <n v="41.44"/>
  </r>
  <r>
    <s v="ORDER00925"/>
    <x v="258"/>
    <d v="2025-02-18T08:13:56"/>
    <s v="Photo Book"/>
    <n v="24.08"/>
  </r>
  <r>
    <s v="ORDER00926"/>
    <x v="266"/>
    <d v="2025-06-15T08:13:56"/>
    <s v="Poster"/>
    <n v="14.82"/>
  </r>
  <r>
    <s v="ORDER00927"/>
    <x v="84"/>
    <d v="2025-02-18T08:13:56"/>
    <s v="Business Card"/>
    <n v="9.74"/>
  </r>
  <r>
    <s v="ORDER00928"/>
    <x v="205"/>
    <d v="2024-12-03T08:13:56"/>
    <s v="Photo Book"/>
    <n v="22.1"/>
  </r>
  <r>
    <s v="ORDER00929"/>
    <x v="281"/>
    <d v="2025-02-18T08:13:56"/>
    <s v="Photo Book"/>
    <n v="22.81"/>
  </r>
  <r>
    <s v="ORDER00930"/>
    <x v="225"/>
    <d v="2025-07-21T08:13:56"/>
    <s v="Photo Book"/>
    <n v="27.13"/>
  </r>
  <r>
    <s v="ORDER00931"/>
    <x v="184"/>
    <d v="2025-06-23T08:13:56"/>
    <s v="Photo Book"/>
    <n v="20.11"/>
  </r>
  <r>
    <s v="ORDER00932"/>
    <x v="57"/>
    <d v="2025-01-21T08:13:56"/>
    <s v="Canvas Print"/>
    <n v="38.54"/>
  </r>
  <r>
    <s v="ORDER00933"/>
    <x v="144"/>
    <d v="2024-12-11T08:13:56"/>
    <s v="Business Card"/>
    <n v="14.04"/>
  </r>
  <r>
    <s v="ORDER00934"/>
    <x v="117"/>
    <d v="2025-02-08T08:13:56"/>
    <s v="Business Card"/>
    <n v="10.14"/>
  </r>
  <r>
    <s v="ORDER00935"/>
    <x v="29"/>
    <d v="2024-11-05T08:13:56"/>
    <s v="Business Card"/>
    <n v="12.08"/>
  </r>
  <r>
    <s v="ORDER00936"/>
    <x v="71"/>
    <d v="2025-04-28T08:13:56"/>
    <s v="Greeting Card"/>
    <n v="5.57"/>
  </r>
  <r>
    <s v="ORDER00937"/>
    <x v="125"/>
    <d v="2025-08-08T08:13:56"/>
    <s v="Flyer"/>
    <n v="11.77"/>
  </r>
  <r>
    <s v="ORDER00938"/>
    <x v="90"/>
    <d v="2025-09-15T08:13:56"/>
    <s v="Business Card"/>
    <n v="13.18"/>
  </r>
  <r>
    <s v="ORDER00939"/>
    <x v="124"/>
    <d v="2025-06-13T08:13:56"/>
    <s v="Photo Book"/>
    <n v="27.21"/>
  </r>
  <r>
    <s v="ORDER00940"/>
    <x v="181"/>
    <d v="2025-09-10T08:13:56"/>
    <s v="Photo Book"/>
    <n v="28.26"/>
  </r>
  <r>
    <s v="ORDER00941"/>
    <x v="158"/>
    <d v="2025-10-30T08:13:56"/>
    <s v="Business Card"/>
    <n v="11.74"/>
  </r>
  <r>
    <s v="ORDER00942"/>
    <x v="247"/>
    <d v="2025-06-16T08:13:56"/>
    <s v="Business Card"/>
    <n v="13.47"/>
  </r>
  <r>
    <s v="ORDER00943"/>
    <x v="35"/>
    <d v="2025-08-15T08:13:56"/>
    <s v="Photo Book"/>
    <n v="20.079999999999998"/>
  </r>
  <r>
    <s v="ORDER00944"/>
    <x v="107"/>
    <d v="2025-03-29T08:13:56"/>
    <s v="Greeting Card"/>
    <n v="5.85"/>
  </r>
  <r>
    <s v="ORDER00945"/>
    <x v="150"/>
    <d v="2025-08-03T08:13:56"/>
    <s v="Poster"/>
    <n v="14.66"/>
  </r>
  <r>
    <s v="ORDER00946"/>
    <x v="202"/>
    <d v="2025-05-16T08:13:56"/>
    <s v="Poster"/>
    <n v="15.32"/>
  </r>
  <r>
    <s v="ORDER00947"/>
    <x v="250"/>
    <d v="2025-01-08T08:13:56"/>
    <s v="Business Card"/>
    <n v="10.82"/>
  </r>
  <r>
    <s v="ORDER00948"/>
    <x v="51"/>
    <d v="2025-02-19T08:13:56"/>
    <s v="Canvas Print"/>
    <n v="43.88"/>
  </r>
  <r>
    <s v="ORDER00949"/>
    <x v="67"/>
    <d v="2024-11-03T08:13:56"/>
    <s v="Business Card"/>
    <n v="9.9700000000000006"/>
  </r>
  <r>
    <s v="ORDER00950"/>
    <x v="285"/>
    <d v="2025-10-15T08:13:56"/>
    <s v="Business Card"/>
    <n v="13.79"/>
  </r>
  <r>
    <s v="ORDER00951"/>
    <x v="229"/>
    <d v="2025-09-26T08:13:56"/>
    <s v="Poster"/>
    <n v="16.97"/>
  </r>
  <r>
    <s v="ORDER00952"/>
    <x v="276"/>
    <d v="2025-09-13T08:13:56"/>
    <s v="Photo Book"/>
    <n v="22.16"/>
  </r>
  <r>
    <s v="ORDER00953"/>
    <x v="155"/>
    <d v="2025-10-15T08:13:56"/>
    <s v="Business Card"/>
    <n v="13.48"/>
  </r>
  <r>
    <s v="ORDER00954"/>
    <x v="10"/>
    <d v="2025-02-02T08:13:56"/>
    <s v="Photo Book"/>
    <n v="27.86"/>
  </r>
  <r>
    <s v="ORDER00955"/>
    <x v="150"/>
    <d v="2025-03-31T08:13:56"/>
    <s v="Photo Book"/>
    <n v="26.32"/>
  </r>
  <r>
    <s v="ORDER00956"/>
    <x v="6"/>
    <d v="2025-09-06T08:13:56"/>
    <s v="Canvas Print"/>
    <n v="37.979999999999997"/>
  </r>
  <r>
    <s v="ORDER00957"/>
    <x v="73"/>
    <d v="2025-03-16T08:13:56"/>
    <s v="Photo Book"/>
    <n v="22.71"/>
  </r>
  <r>
    <s v="ORDER00958"/>
    <x v="72"/>
    <d v="2025-07-04T08:13:56"/>
    <s v="Poster"/>
    <n v="13.39"/>
  </r>
  <r>
    <s v="ORDER00959"/>
    <x v="84"/>
    <d v="2025-06-30T08:13:56"/>
    <s v="Greeting Card"/>
    <n v="4.6399999999999997"/>
  </r>
  <r>
    <s v="ORDER00960"/>
    <x v="65"/>
    <d v="2024-11-30T08:13:56"/>
    <s v="Greeting Card"/>
    <n v="5.81"/>
  </r>
  <r>
    <s v="ORDER00961"/>
    <x v="266"/>
    <d v="2024-12-09T08:13:56"/>
    <s v="Flyer"/>
    <n v="8.31"/>
  </r>
  <r>
    <s v="ORDER00962"/>
    <x v="96"/>
    <d v="2025-06-16T08:13:56"/>
    <s v="Business Card"/>
    <n v="13.58"/>
  </r>
  <r>
    <s v="ORDER00963"/>
    <x v="272"/>
    <d v="2024-12-05T08:13:56"/>
    <s v="Poster"/>
    <n v="14.09"/>
  </r>
  <r>
    <s v="ORDER00964"/>
    <x v="209"/>
    <d v="2025-06-10T08:13:56"/>
    <s v="Photo Book"/>
    <n v="25.22"/>
  </r>
  <r>
    <s v="ORDER00965"/>
    <x v="171"/>
    <d v="2024-11-05T08:13:56"/>
    <s v="Greeting Card"/>
    <n v="5.59"/>
  </r>
  <r>
    <s v="ORDER00966"/>
    <x v="258"/>
    <d v="2025-09-17T08:13:56"/>
    <s v="Poster"/>
    <n v="17.309999999999999"/>
  </r>
  <r>
    <s v="ORDER00967"/>
    <x v="3"/>
    <d v="2025-06-07T08:13:56"/>
    <s v="Greeting Card"/>
    <n v="4.6900000000000004"/>
  </r>
  <r>
    <s v="ORDER00968"/>
    <x v="279"/>
    <d v="2025-01-13T08:13:56"/>
    <s v="Photo Book"/>
    <n v="24.62"/>
  </r>
  <r>
    <s v="ORDER00969"/>
    <x v="44"/>
    <d v="2024-11-03T08:13:56"/>
    <s v="Greeting Card"/>
    <n v="4.83"/>
  </r>
  <r>
    <s v="ORDER00970"/>
    <x v="215"/>
    <d v="2025-09-30T08:13:56"/>
    <s v="Business Card"/>
    <n v="9.66"/>
  </r>
  <r>
    <s v="ORDER00971"/>
    <x v="227"/>
    <d v="2025-03-13T08:13:56"/>
    <s v="Business Card"/>
    <n v="11.02"/>
  </r>
  <r>
    <s v="ORDER00972"/>
    <x v="112"/>
    <d v="2025-02-25T08:13:56"/>
    <s v="Flyer"/>
    <n v="9.84"/>
  </r>
  <r>
    <s v="ORDER00973"/>
    <x v="260"/>
    <d v="2025-02-01T08:13:56"/>
    <s v="Flyer"/>
    <n v="9.64"/>
  </r>
  <r>
    <s v="ORDER00974"/>
    <x v="118"/>
    <d v="2024-12-31T08:13:56"/>
    <s v="Greeting Card"/>
    <n v="5.44"/>
  </r>
  <r>
    <s v="ORDER00975"/>
    <x v="104"/>
    <d v="2025-05-12T08:13:56"/>
    <s v="Poster"/>
    <n v="14.31"/>
  </r>
  <r>
    <s v="ORDER00976"/>
    <x v="88"/>
    <d v="2025-09-30T08:13:56"/>
    <s v="Business Card"/>
    <n v="11.95"/>
  </r>
  <r>
    <s v="ORDER00977"/>
    <x v="233"/>
    <d v="2025-05-21T08:13:56"/>
    <s v="Poster"/>
    <n v="14.58"/>
  </r>
  <r>
    <s v="ORDER00978"/>
    <x v="263"/>
    <d v="2024-11-25T08:13:56"/>
    <s v="Poster"/>
    <n v="16.440000000000001"/>
  </r>
  <r>
    <s v="ORDER00979"/>
    <x v="112"/>
    <d v="2025-04-21T08:13:56"/>
    <s v="Greeting Card"/>
    <n v="5.73"/>
  </r>
  <r>
    <s v="ORDER00980"/>
    <x v="126"/>
    <d v="2025-08-26T08:13:56"/>
    <s v="Poster"/>
    <n v="15.19"/>
  </r>
  <r>
    <s v="ORDER00981"/>
    <x v="274"/>
    <d v="2025-03-12T08:13:56"/>
    <s v="Business Card"/>
    <n v="13.39"/>
  </r>
  <r>
    <s v="ORDER00982"/>
    <x v="24"/>
    <d v="2025-09-21T08:13:56"/>
    <s v="Photo Book"/>
    <n v="22.97"/>
  </r>
  <r>
    <s v="ORDER00983"/>
    <x v="286"/>
    <d v="2025-02-25T08:13:56"/>
    <s v="Flyer"/>
    <n v="10.17"/>
  </r>
  <r>
    <s v="ORDER00984"/>
    <x v="102"/>
    <d v="2025-09-19T08:13:56"/>
    <s v="Photo Book"/>
    <n v="23.45"/>
  </r>
  <r>
    <s v="ORDER00985"/>
    <x v="181"/>
    <d v="2025-08-01T08:13:56"/>
    <s v="Poster"/>
    <n v="14.49"/>
  </r>
  <r>
    <s v="ORDER00986"/>
    <x v="193"/>
    <d v="2025-05-30T08:13:56"/>
    <s v="Photo Book"/>
    <n v="27.32"/>
  </r>
  <r>
    <s v="ORDER00987"/>
    <x v="251"/>
    <d v="2025-06-12T08:13:56"/>
    <s v="Business Card"/>
    <n v="13.83"/>
  </r>
  <r>
    <s v="ORDER00988"/>
    <x v="17"/>
    <d v="2024-11-19T08:13:56"/>
    <s v="Business Card"/>
    <n v="10.18"/>
  </r>
  <r>
    <s v="ORDER00989"/>
    <x v="128"/>
    <d v="2025-02-20T08:13:56"/>
    <s v="Poster"/>
    <n v="15.81"/>
  </r>
  <r>
    <s v="ORDER00990"/>
    <x v="118"/>
    <d v="2025-03-19T08:13:56"/>
    <s v="Greeting Card"/>
    <n v="5.16"/>
  </r>
  <r>
    <s v="ORDER00991"/>
    <x v="202"/>
    <d v="2024-12-16T08:13:56"/>
    <s v="Photo Book"/>
    <n v="21.18"/>
  </r>
  <r>
    <s v="ORDER00992"/>
    <x v="165"/>
    <d v="2024-10-31T08:13:56"/>
    <s v="Greeting Card"/>
    <n v="4.42"/>
  </r>
  <r>
    <s v="ORDER00993"/>
    <x v="1"/>
    <d v="2025-01-28T08:13:56"/>
    <s v="Greeting Card"/>
    <n v="4.62"/>
  </r>
  <r>
    <s v="ORDER00994"/>
    <x v="162"/>
    <d v="2025-03-21T08:13:56"/>
    <s v="Canvas Print"/>
    <n v="34.67"/>
  </r>
  <r>
    <s v="ORDER00995"/>
    <x v="101"/>
    <d v="2025-09-15T08:13:56"/>
    <s v="Poster"/>
    <n v="13.46"/>
  </r>
  <r>
    <s v="ORDER00996"/>
    <x v="116"/>
    <d v="2024-12-07T08:13:56"/>
    <s v="Flyer"/>
    <n v="9.07"/>
  </r>
  <r>
    <s v="ORDER00997"/>
    <x v="88"/>
    <d v="2025-08-19T08:13:56"/>
    <s v="Business Card"/>
    <n v="11.21"/>
  </r>
  <r>
    <s v="ORDER00998"/>
    <x v="47"/>
    <d v="2025-03-18T08:13:56"/>
    <s v="Business Card"/>
    <n v="13.2"/>
  </r>
  <r>
    <s v="ORDER00999"/>
    <x v="232"/>
    <d v="2025-10-21T08:13:56"/>
    <s v="Poster"/>
    <n v="15.43"/>
  </r>
  <r>
    <s v="ORDER01000"/>
    <x v="81"/>
    <d v="2025-09-28T08:13:56"/>
    <s v="Flyer"/>
    <n v="11.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CUST0001"/>
    <n v="99.656990740739275"/>
    <n v="5"/>
    <n v="64.5"/>
    <n v="5"/>
    <n v="3"/>
    <n v="2"/>
    <n v="10"/>
    <x v="0"/>
  </r>
  <r>
    <s v="CUST0002"/>
    <n v="69.656990740739275"/>
    <n v="4"/>
    <n v="53.9"/>
    <n v="5"/>
    <n v="2"/>
    <n v="2"/>
    <n v="9"/>
    <x v="1"/>
  </r>
  <r>
    <s v="CUST0003"/>
    <n v="207.65699074073927"/>
    <n v="4"/>
    <n v="75.75"/>
    <n v="4"/>
    <n v="2"/>
    <n v="2"/>
    <n v="8"/>
    <x v="1"/>
  </r>
  <r>
    <s v="CUST0004"/>
    <n v="119.65699074073927"/>
    <n v="4"/>
    <n v="123.07"/>
    <n v="5"/>
    <n v="2"/>
    <n v="4"/>
    <n v="11"/>
    <x v="0"/>
  </r>
  <r>
    <s v="CUST0005"/>
    <n v="83.656990740739275"/>
    <n v="4"/>
    <n v="63.34"/>
    <n v="5"/>
    <n v="2"/>
    <n v="2"/>
    <n v="9"/>
    <x v="1"/>
  </r>
  <r>
    <s v="CUST0007"/>
    <n v="211.65699074073927"/>
    <n v="5"/>
    <n v="104.63000000000001"/>
    <n v="4"/>
    <n v="3"/>
    <n v="3"/>
    <n v="10"/>
    <x v="0"/>
  </r>
  <r>
    <s v="CUST0008"/>
    <n v="113.65699074073927"/>
    <n v="4"/>
    <n v="106.62"/>
    <n v="5"/>
    <n v="2"/>
    <n v="3"/>
    <n v="10"/>
    <x v="0"/>
  </r>
  <r>
    <s v="CUST0009"/>
    <n v="88.656990740739275"/>
    <n v="6"/>
    <n v="139.02000000000001"/>
    <n v="5"/>
    <n v="3"/>
    <n v="4"/>
    <n v="12"/>
    <x v="0"/>
  </r>
  <r>
    <s v="CUST0010"/>
    <n v="93.656990740739275"/>
    <n v="4"/>
    <n v="35.17"/>
    <n v="5"/>
    <n v="2"/>
    <n v="1"/>
    <n v="8"/>
    <x v="1"/>
  </r>
  <r>
    <s v="CUST0011"/>
    <n v="86.656990740739275"/>
    <n v="6"/>
    <n v="128.11000000000001"/>
    <n v="5"/>
    <n v="3"/>
    <n v="4"/>
    <n v="12"/>
    <x v="0"/>
  </r>
  <r>
    <s v="CUST0012"/>
    <n v="111.65699074073927"/>
    <n v="9"/>
    <n v="187.09000000000003"/>
    <n v="5"/>
    <n v="4"/>
    <n v="5"/>
    <n v="14"/>
    <x v="2"/>
  </r>
  <r>
    <s v="CUST0013"/>
    <n v="77.656990740739275"/>
    <n v="2"/>
    <n v="30.9"/>
    <n v="5"/>
    <n v="1"/>
    <n v="1"/>
    <n v="7"/>
    <x v="1"/>
  </r>
  <r>
    <s v="CUST0014"/>
    <n v="136.65699074073927"/>
    <n v="6"/>
    <n v="132.01"/>
    <n v="5"/>
    <n v="3"/>
    <n v="4"/>
    <n v="12"/>
    <x v="0"/>
  </r>
  <r>
    <s v="CUST0015"/>
    <n v="182.65699074073927"/>
    <n v="5"/>
    <n v="58.190000000000005"/>
    <n v="4"/>
    <n v="3"/>
    <n v="2"/>
    <n v="9"/>
    <x v="1"/>
  </r>
  <r>
    <s v="CUST0016"/>
    <n v="244.65699074073927"/>
    <n v="2"/>
    <n v="39.26"/>
    <n v="3"/>
    <n v="1"/>
    <n v="1"/>
    <n v="5"/>
    <x v="3"/>
  </r>
  <r>
    <s v="CUST0017"/>
    <n v="161.65699074073927"/>
    <n v="6"/>
    <n v="90.009999999999991"/>
    <n v="4"/>
    <n v="3"/>
    <n v="3"/>
    <n v="10"/>
    <x v="0"/>
  </r>
  <r>
    <s v="CUST0018"/>
    <n v="201.65699074073927"/>
    <n v="2"/>
    <n v="68.16"/>
    <n v="4"/>
    <n v="1"/>
    <n v="2"/>
    <n v="7"/>
    <x v="1"/>
  </r>
  <r>
    <s v="CUST0019"/>
    <n v="134.65699074073927"/>
    <n v="3"/>
    <n v="50.73"/>
    <n v="5"/>
    <n v="2"/>
    <n v="2"/>
    <n v="9"/>
    <x v="1"/>
  </r>
  <r>
    <s v="CUST0020"/>
    <n v="161.65699074073927"/>
    <n v="4"/>
    <n v="52.31"/>
    <n v="4"/>
    <n v="2"/>
    <n v="2"/>
    <n v="8"/>
    <x v="1"/>
  </r>
  <r>
    <s v="CUST0021"/>
    <n v="195.65699074073927"/>
    <n v="3"/>
    <n v="57.05"/>
    <n v="4"/>
    <n v="2"/>
    <n v="2"/>
    <n v="8"/>
    <x v="1"/>
  </r>
  <r>
    <s v="CUST0022"/>
    <n v="77.656990740739275"/>
    <n v="3"/>
    <n v="50.93"/>
    <n v="5"/>
    <n v="2"/>
    <n v="2"/>
    <n v="9"/>
    <x v="1"/>
  </r>
  <r>
    <s v="CUST0023"/>
    <n v="160.65699074073927"/>
    <n v="3"/>
    <n v="62.489999999999995"/>
    <n v="4"/>
    <n v="2"/>
    <n v="2"/>
    <n v="8"/>
    <x v="1"/>
  </r>
  <r>
    <s v="CUST0024"/>
    <n v="142.65699074073927"/>
    <n v="2"/>
    <n v="16.66"/>
    <n v="4"/>
    <n v="1"/>
    <n v="1"/>
    <n v="6"/>
    <x v="3"/>
  </r>
  <r>
    <s v="CUST0025"/>
    <n v="109.65699074073927"/>
    <n v="6"/>
    <n v="109.94"/>
    <n v="5"/>
    <n v="3"/>
    <n v="3"/>
    <n v="11"/>
    <x v="0"/>
  </r>
  <r>
    <s v="CUST0026"/>
    <n v="211.65699074073927"/>
    <n v="4"/>
    <n v="95.759999999999991"/>
    <n v="4"/>
    <n v="2"/>
    <n v="3"/>
    <n v="9"/>
    <x v="1"/>
  </r>
  <r>
    <s v="CUST0027"/>
    <n v="198.65699074073927"/>
    <n v="5"/>
    <n v="70.66"/>
    <n v="4"/>
    <n v="3"/>
    <n v="2"/>
    <n v="9"/>
    <x v="1"/>
  </r>
  <r>
    <s v="CUST0028"/>
    <n v="183.65699074073927"/>
    <n v="1"/>
    <n v="4.8600000000000003"/>
    <n v="4"/>
    <n v="1"/>
    <n v="1"/>
    <n v="6"/>
    <x v="3"/>
  </r>
  <r>
    <s v="CUST0029"/>
    <n v="130.65699074073927"/>
    <n v="6"/>
    <n v="130.92000000000002"/>
    <n v="5"/>
    <n v="3"/>
    <n v="4"/>
    <n v="12"/>
    <x v="0"/>
  </r>
  <r>
    <s v="CUST0031"/>
    <n v="341.65699074073927"/>
    <n v="1"/>
    <n v="9.42"/>
    <n v="2"/>
    <n v="1"/>
    <n v="1"/>
    <n v="4"/>
    <x v="3"/>
  </r>
  <r>
    <s v="CUST0032"/>
    <n v="203.65699074073927"/>
    <n v="2"/>
    <n v="26.84"/>
    <n v="4"/>
    <n v="1"/>
    <n v="1"/>
    <n v="6"/>
    <x v="3"/>
  </r>
  <r>
    <s v="CUST0033"/>
    <n v="95.656990740739275"/>
    <n v="1"/>
    <n v="5.71"/>
    <n v="5"/>
    <n v="1"/>
    <n v="1"/>
    <n v="7"/>
    <x v="1"/>
  </r>
  <r>
    <s v="CUST0034"/>
    <n v="282.65699074073927"/>
    <n v="2"/>
    <n v="15.89"/>
    <n v="3"/>
    <n v="1"/>
    <n v="1"/>
    <n v="5"/>
    <x v="3"/>
  </r>
  <r>
    <s v="CUST0035"/>
    <n v="242.65699074073927"/>
    <n v="3"/>
    <n v="58.38"/>
    <n v="3"/>
    <n v="2"/>
    <n v="2"/>
    <n v="7"/>
    <x v="1"/>
  </r>
  <r>
    <s v="CUST0036"/>
    <n v="84.656990740739275"/>
    <n v="3"/>
    <n v="72.06"/>
    <n v="5"/>
    <n v="2"/>
    <n v="2"/>
    <n v="9"/>
    <x v="1"/>
  </r>
  <r>
    <s v="CUST0037"/>
    <n v="145.65699074073927"/>
    <n v="3"/>
    <n v="40.36"/>
    <n v="4"/>
    <n v="2"/>
    <n v="1"/>
    <n v="7"/>
    <x v="1"/>
  </r>
  <r>
    <s v="CUST0038"/>
    <n v="124.65699074073927"/>
    <n v="4"/>
    <n v="44.35"/>
    <n v="5"/>
    <n v="2"/>
    <n v="2"/>
    <n v="9"/>
    <x v="1"/>
  </r>
  <r>
    <s v="CUST0039"/>
    <n v="92.656990740739275"/>
    <n v="8"/>
    <n v="167.44"/>
    <n v="5"/>
    <n v="4"/>
    <n v="5"/>
    <n v="14"/>
    <x v="2"/>
  </r>
  <r>
    <s v="CUST0040"/>
    <n v="98.656990740739275"/>
    <n v="6"/>
    <n v="101.46000000000001"/>
    <n v="5"/>
    <n v="3"/>
    <n v="3"/>
    <n v="11"/>
    <x v="0"/>
  </r>
  <r>
    <s v="CUST0041"/>
    <n v="261.65699074073927"/>
    <n v="4"/>
    <n v="63.980000000000004"/>
    <n v="3"/>
    <n v="2"/>
    <n v="2"/>
    <n v="7"/>
    <x v="1"/>
  </r>
  <r>
    <s v="CUST0042"/>
    <n v="226.65699074073927"/>
    <n v="4"/>
    <n v="106.78"/>
    <n v="3"/>
    <n v="2"/>
    <n v="3"/>
    <n v="8"/>
    <x v="1"/>
  </r>
  <r>
    <s v="CUST0043"/>
    <n v="289.65699074073927"/>
    <n v="1"/>
    <n v="12.17"/>
    <n v="2"/>
    <n v="1"/>
    <n v="1"/>
    <n v="4"/>
    <x v="3"/>
  </r>
  <r>
    <s v="CUST0044"/>
    <n v="181.65699074073927"/>
    <n v="2"/>
    <n v="10.379999999999999"/>
    <n v="4"/>
    <n v="1"/>
    <n v="1"/>
    <n v="6"/>
    <x v="3"/>
  </r>
  <r>
    <s v="CUST0045"/>
    <n v="149.65699074073927"/>
    <n v="2"/>
    <n v="23.240000000000002"/>
    <n v="4"/>
    <n v="1"/>
    <n v="1"/>
    <n v="6"/>
    <x v="3"/>
  </r>
  <r>
    <s v="CUST0046"/>
    <n v="242.65699074073927"/>
    <n v="4"/>
    <n v="65.58"/>
    <n v="3"/>
    <n v="2"/>
    <n v="2"/>
    <n v="7"/>
    <x v="1"/>
  </r>
  <r>
    <s v="CUST0047"/>
    <n v="187.65699074073927"/>
    <n v="4"/>
    <n v="90.01"/>
    <n v="4"/>
    <n v="2"/>
    <n v="3"/>
    <n v="9"/>
    <x v="1"/>
  </r>
  <r>
    <s v="CUST0049"/>
    <n v="264.65699074073927"/>
    <n v="4"/>
    <n v="32.14"/>
    <n v="3"/>
    <n v="2"/>
    <n v="1"/>
    <n v="6"/>
    <x v="3"/>
  </r>
  <r>
    <s v="CUST0050"/>
    <n v="217.65699074073927"/>
    <n v="3"/>
    <n v="32.49"/>
    <n v="3"/>
    <n v="2"/>
    <n v="1"/>
    <n v="6"/>
    <x v="3"/>
  </r>
  <r>
    <s v="CUST0051"/>
    <n v="141.65699074073927"/>
    <n v="3"/>
    <n v="86.679999999999993"/>
    <n v="4"/>
    <n v="2"/>
    <n v="3"/>
    <n v="9"/>
    <x v="1"/>
  </r>
  <r>
    <s v="CUST0052"/>
    <n v="116.65699074073927"/>
    <n v="2"/>
    <n v="52.57"/>
    <n v="5"/>
    <n v="1"/>
    <n v="2"/>
    <n v="8"/>
    <x v="1"/>
  </r>
  <r>
    <s v="CUST0053"/>
    <n v="88.656990740739275"/>
    <n v="2"/>
    <n v="13.86"/>
    <n v="5"/>
    <n v="1"/>
    <n v="1"/>
    <n v="7"/>
    <x v="1"/>
  </r>
  <r>
    <s v="CUST0054"/>
    <n v="162.65699074073927"/>
    <n v="2"/>
    <n v="14.21"/>
    <n v="4"/>
    <n v="1"/>
    <n v="1"/>
    <n v="6"/>
    <x v="3"/>
  </r>
  <r>
    <s v="CUST0055"/>
    <n v="178.65699074073927"/>
    <n v="5"/>
    <n v="81.3"/>
    <n v="4"/>
    <n v="3"/>
    <n v="3"/>
    <n v="10"/>
    <x v="0"/>
  </r>
  <r>
    <s v="CUST0056"/>
    <n v="94.656990740739275"/>
    <n v="1"/>
    <n v="10.48"/>
    <n v="5"/>
    <n v="1"/>
    <n v="1"/>
    <n v="7"/>
    <x v="1"/>
  </r>
  <r>
    <s v="CUST0057"/>
    <n v="178.65699074073927"/>
    <n v="1"/>
    <n v="24.63"/>
    <n v="4"/>
    <n v="1"/>
    <n v="1"/>
    <n v="6"/>
    <x v="3"/>
  </r>
  <r>
    <s v="CUST0058"/>
    <n v="204.65699074073927"/>
    <n v="2"/>
    <n v="83.66"/>
    <n v="4"/>
    <n v="1"/>
    <n v="3"/>
    <n v="8"/>
    <x v="1"/>
  </r>
  <r>
    <s v="CUST0059"/>
    <n v="92.656990740739275"/>
    <n v="7"/>
    <n v="99.24"/>
    <n v="5"/>
    <n v="4"/>
    <n v="3"/>
    <n v="12"/>
    <x v="0"/>
  </r>
  <r>
    <s v="CUST0060"/>
    <n v="95.656990740739275"/>
    <n v="4"/>
    <n v="88.919999999999987"/>
    <n v="5"/>
    <n v="2"/>
    <n v="3"/>
    <n v="10"/>
    <x v="0"/>
  </r>
  <r>
    <s v="CUST0061"/>
    <n v="280.65699074073927"/>
    <n v="3"/>
    <n v="46.61"/>
    <n v="3"/>
    <n v="2"/>
    <n v="2"/>
    <n v="7"/>
    <x v="1"/>
  </r>
  <r>
    <s v="CUST0062"/>
    <n v="244.65699074073927"/>
    <n v="3"/>
    <n v="51.039999999999992"/>
    <n v="3"/>
    <n v="2"/>
    <n v="2"/>
    <n v="7"/>
    <x v="1"/>
  </r>
  <r>
    <s v="CUST0063"/>
    <n v="191.65699074073927"/>
    <n v="6"/>
    <n v="96.279999999999987"/>
    <n v="4"/>
    <n v="3"/>
    <n v="3"/>
    <n v="10"/>
    <x v="0"/>
  </r>
  <r>
    <s v="CUST0064"/>
    <n v="87.656990740739275"/>
    <n v="3"/>
    <n v="49.8"/>
    <n v="5"/>
    <n v="2"/>
    <n v="2"/>
    <n v="9"/>
    <x v="1"/>
  </r>
  <r>
    <s v="CUST0065"/>
    <n v="69.656990740739275"/>
    <n v="2"/>
    <n v="23.78"/>
    <n v="5"/>
    <n v="1"/>
    <n v="1"/>
    <n v="7"/>
    <x v="1"/>
  </r>
  <r>
    <s v="CUST0066"/>
    <n v="76.656990740739275"/>
    <n v="2"/>
    <n v="56.19"/>
    <n v="5"/>
    <n v="1"/>
    <n v="2"/>
    <n v="8"/>
    <x v="1"/>
  </r>
  <r>
    <s v="CUST0067"/>
    <n v="321.65699074073927"/>
    <n v="2"/>
    <n v="50.21"/>
    <n v="2"/>
    <n v="1"/>
    <n v="2"/>
    <n v="5"/>
    <x v="3"/>
  </r>
  <r>
    <s v="CUST0068"/>
    <n v="216.65699074073927"/>
    <n v="2"/>
    <n v="40.29"/>
    <n v="3"/>
    <n v="1"/>
    <n v="1"/>
    <n v="5"/>
    <x v="3"/>
  </r>
  <r>
    <s v="CUST0069"/>
    <n v="125.65699074073927"/>
    <n v="5"/>
    <n v="56.240000000000009"/>
    <n v="5"/>
    <n v="3"/>
    <n v="2"/>
    <n v="10"/>
    <x v="0"/>
  </r>
  <r>
    <s v="CUST0071"/>
    <n v="84.656990740739275"/>
    <n v="1"/>
    <n v="13.79"/>
    <n v="5"/>
    <n v="1"/>
    <n v="1"/>
    <n v="7"/>
    <x v="1"/>
  </r>
  <r>
    <s v="CUST0072"/>
    <n v="261.65699074073927"/>
    <n v="5"/>
    <n v="41.33"/>
    <n v="3"/>
    <n v="3"/>
    <n v="1"/>
    <n v="7"/>
    <x v="1"/>
  </r>
  <r>
    <s v="CUST0073"/>
    <n v="242.65699074073927"/>
    <n v="5"/>
    <n v="142.38"/>
    <n v="3"/>
    <n v="3"/>
    <n v="4"/>
    <n v="10"/>
    <x v="0"/>
  </r>
  <r>
    <s v="CUST0074"/>
    <n v="244.65699074073927"/>
    <n v="2"/>
    <n v="20.810000000000002"/>
    <n v="3"/>
    <n v="1"/>
    <n v="1"/>
    <n v="5"/>
    <x v="3"/>
  </r>
  <r>
    <s v="CUST0075"/>
    <n v="203.65699074073927"/>
    <n v="3"/>
    <n v="60.87"/>
    <n v="4"/>
    <n v="2"/>
    <n v="2"/>
    <n v="8"/>
    <x v="1"/>
  </r>
  <r>
    <s v="CUST0076"/>
    <n v="140.65699074073927"/>
    <n v="5"/>
    <n v="75.69"/>
    <n v="5"/>
    <n v="3"/>
    <n v="2"/>
    <n v="10"/>
    <x v="0"/>
  </r>
  <r>
    <s v="CUST0077"/>
    <n v="181.65699074073927"/>
    <n v="4"/>
    <n v="91.19"/>
    <n v="4"/>
    <n v="2"/>
    <n v="3"/>
    <n v="9"/>
    <x v="1"/>
  </r>
  <r>
    <s v="CUST0078"/>
    <n v="75.656990740739275"/>
    <n v="3"/>
    <n v="70.13"/>
    <n v="5"/>
    <n v="2"/>
    <n v="2"/>
    <n v="9"/>
    <x v="1"/>
  </r>
  <r>
    <s v="CUST0079"/>
    <n v="92.656990740739275"/>
    <n v="2"/>
    <n v="38.49"/>
    <n v="5"/>
    <n v="1"/>
    <n v="1"/>
    <n v="7"/>
    <x v="1"/>
  </r>
  <r>
    <s v="CUST0080"/>
    <n v="131.65699074073927"/>
    <n v="3"/>
    <n v="80.930000000000007"/>
    <n v="5"/>
    <n v="2"/>
    <n v="3"/>
    <n v="10"/>
    <x v="0"/>
  </r>
  <r>
    <s v="CUST0081"/>
    <n v="286.65699074073927"/>
    <n v="3"/>
    <n v="52.34"/>
    <n v="2"/>
    <n v="2"/>
    <n v="2"/>
    <n v="6"/>
    <x v="3"/>
  </r>
  <r>
    <s v="CUST0082"/>
    <n v="69.656990740739275"/>
    <n v="5"/>
    <n v="88.89"/>
    <n v="5"/>
    <n v="3"/>
    <n v="3"/>
    <n v="11"/>
    <x v="0"/>
  </r>
  <r>
    <s v="CUST0084"/>
    <n v="103.65699074073927"/>
    <n v="8"/>
    <n v="123.51"/>
    <n v="5"/>
    <n v="4"/>
    <n v="4"/>
    <n v="13"/>
    <x v="0"/>
  </r>
  <r>
    <s v="CUST0085"/>
    <n v="250.65699074073927"/>
    <n v="2"/>
    <n v="41.95"/>
    <n v="3"/>
    <n v="1"/>
    <n v="2"/>
    <n v="6"/>
    <x v="3"/>
  </r>
  <r>
    <s v="CUST0086"/>
    <n v="108.65699074073927"/>
    <n v="4"/>
    <n v="30.27"/>
    <n v="5"/>
    <n v="2"/>
    <n v="1"/>
    <n v="8"/>
    <x v="1"/>
  </r>
  <r>
    <s v="CUST0087"/>
    <n v="214.65699074073927"/>
    <n v="4"/>
    <n v="57.61"/>
    <n v="3"/>
    <n v="2"/>
    <n v="2"/>
    <n v="7"/>
    <x v="1"/>
  </r>
  <r>
    <s v="CUST0088"/>
    <n v="209.65699074073927"/>
    <n v="2"/>
    <n v="21.91"/>
    <n v="4"/>
    <n v="1"/>
    <n v="1"/>
    <n v="6"/>
    <x v="3"/>
  </r>
  <r>
    <s v="CUST0089"/>
    <n v="142.65699074073927"/>
    <n v="6"/>
    <n v="60.04"/>
    <n v="4"/>
    <n v="3"/>
    <n v="2"/>
    <n v="9"/>
    <x v="1"/>
  </r>
  <r>
    <s v="CUST0090"/>
    <n v="82.656990740739275"/>
    <n v="5"/>
    <n v="49.970000000000006"/>
    <n v="5"/>
    <n v="3"/>
    <n v="2"/>
    <n v="10"/>
    <x v="0"/>
  </r>
  <r>
    <s v="CUST0092"/>
    <n v="214.65699074073927"/>
    <n v="5"/>
    <n v="113.27000000000001"/>
    <n v="3"/>
    <n v="3"/>
    <n v="3"/>
    <n v="9"/>
    <x v="1"/>
  </r>
  <r>
    <s v="CUST0093"/>
    <n v="69.656990740739275"/>
    <n v="4"/>
    <n v="64.37"/>
    <n v="5"/>
    <n v="2"/>
    <n v="2"/>
    <n v="9"/>
    <x v="1"/>
  </r>
  <r>
    <s v="CUST0094"/>
    <n v="303.65699074073927"/>
    <n v="1"/>
    <n v="11.82"/>
    <n v="2"/>
    <n v="1"/>
    <n v="1"/>
    <n v="4"/>
    <x v="3"/>
  </r>
  <r>
    <s v="CUST0095"/>
    <n v="117.65699074073927"/>
    <n v="3"/>
    <n v="31.41"/>
    <n v="5"/>
    <n v="2"/>
    <n v="1"/>
    <n v="8"/>
    <x v="1"/>
  </r>
  <r>
    <s v="CUST0096"/>
    <n v="123.65699074073927"/>
    <n v="3"/>
    <n v="95.009999999999991"/>
    <n v="5"/>
    <n v="2"/>
    <n v="3"/>
    <n v="10"/>
    <x v="0"/>
  </r>
  <r>
    <s v="CUST0097"/>
    <n v="243.65699074073927"/>
    <n v="2"/>
    <n v="32.729999999999997"/>
    <n v="3"/>
    <n v="1"/>
    <n v="1"/>
    <n v="5"/>
    <x v="3"/>
  </r>
  <r>
    <s v="CUST0098"/>
    <n v="69.656990740739275"/>
    <n v="6"/>
    <n v="122.55000000000001"/>
    <n v="5"/>
    <n v="3"/>
    <n v="4"/>
    <n v="12"/>
    <x v="0"/>
  </r>
  <r>
    <s v="CUST0099"/>
    <n v="85.656990740739275"/>
    <n v="2"/>
    <n v="58.25"/>
    <n v="5"/>
    <n v="1"/>
    <n v="2"/>
    <n v="8"/>
    <x v="1"/>
  </r>
  <r>
    <s v="CUST0100"/>
    <n v="301.65699074073927"/>
    <n v="2"/>
    <n v="18.39"/>
    <n v="2"/>
    <n v="1"/>
    <n v="1"/>
    <n v="4"/>
    <x v="3"/>
  </r>
  <r>
    <s v="CUST0101"/>
    <n v="243.65699074073927"/>
    <n v="3"/>
    <n v="70.75"/>
    <n v="3"/>
    <n v="2"/>
    <n v="2"/>
    <n v="7"/>
    <x v="1"/>
  </r>
  <r>
    <s v="CUST0102"/>
    <n v="71.656990740739275"/>
    <n v="5"/>
    <n v="108.92"/>
    <n v="5"/>
    <n v="3"/>
    <n v="3"/>
    <n v="11"/>
    <x v="0"/>
  </r>
  <r>
    <s v="CUST0103"/>
    <n v="398.65699074073927"/>
    <n v="2"/>
    <n v="22.2"/>
    <n v="1"/>
    <n v="1"/>
    <n v="1"/>
    <n v="3"/>
    <x v="4"/>
  </r>
  <r>
    <s v="CUST0104"/>
    <n v="88.656990740739275"/>
    <n v="6"/>
    <n v="164.74"/>
    <n v="5"/>
    <n v="3"/>
    <n v="5"/>
    <n v="13"/>
    <x v="0"/>
  </r>
  <r>
    <s v="CUST0105"/>
    <n v="334.65699074073927"/>
    <n v="2"/>
    <n v="19.489999999999998"/>
    <n v="2"/>
    <n v="1"/>
    <n v="1"/>
    <n v="4"/>
    <x v="3"/>
  </r>
  <r>
    <s v="CUST0106"/>
    <n v="104.65699074073927"/>
    <n v="3"/>
    <n v="91.44"/>
    <n v="5"/>
    <n v="2"/>
    <n v="3"/>
    <n v="10"/>
    <x v="0"/>
  </r>
  <r>
    <s v="CUST0107"/>
    <n v="195.65699074073927"/>
    <n v="3"/>
    <n v="29.130000000000003"/>
    <n v="4"/>
    <n v="2"/>
    <n v="1"/>
    <n v="7"/>
    <x v="1"/>
  </r>
  <r>
    <s v="CUST0108"/>
    <n v="149.65699074073927"/>
    <n v="6"/>
    <n v="72.05"/>
    <n v="4"/>
    <n v="3"/>
    <n v="2"/>
    <n v="9"/>
    <x v="1"/>
  </r>
  <r>
    <s v="CUST0109"/>
    <n v="397.65699074073927"/>
    <n v="1"/>
    <n v="8.01"/>
    <n v="1"/>
    <n v="1"/>
    <n v="1"/>
    <n v="3"/>
    <x v="4"/>
  </r>
  <r>
    <s v="CUST0110"/>
    <n v="160.65699074073927"/>
    <n v="2"/>
    <n v="52.1"/>
    <n v="4"/>
    <n v="1"/>
    <n v="2"/>
    <n v="7"/>
    <x v="1"/>
  </r>
  <r>
    <s v="CUST0111"/>
    <n v="74.656990740739275"/>
    <n v="5"/>
    <n v="108.17999999999999"/>
    <n v="5"/>
    <n v="3"/>
    <n v="3"/>
    <n v="11"/>
    <x v="0"/>
  </r>
  <r>
    <s v="CUST0112"/>
    <n v="179.65699074073927"/>
    <n v="1"/>
    <n v="11.81"/>
    <n v="4"/>
    <n v="1"/>
    <n v="1"/>
    <n v="6"/>
    <x v="3"/>
  </r>
  <r>
    <s v="CUST0113"/>
    <n v="116.65699074073927"/>
    <n v="3"/>
    <n v="36.65"/>
    <n v="5"/>
    <n v="2"/>
    <n v="1"/>
    <n v="8"/>
    <x v="1"/>
  </r>
  <r>
    <s v="CUST0114"/>
    <n v="154.65699074073927"/>
    <n v="3"/>
    <n v="57.95"/>
    <n v="4"/>
    <n v="2"/>
    <n v="2"/>
    <n v="8"/>
    <x v="1"/>
  </r>
  <r>
    <s v="CUST0115"/>
    <n v="167.65699074073927"/>
    <n v="3"/>
    <n v="52.660000000000004"/>
    <n v="4"/>
    <n v="2"/>
    <n v="2"/>
    <n v="8"/>
    <x v="1"/>
  </r>
  <r>
    <s v="CUST0116"/>
    <n v="201.65699074073927"/>
    <n v="1"/>
    <n v="4.38"/>
    <n v="4"/>
    <n v="1"/>
    <n v="1"/>
    <n v="6"/>
    <x v="3"/>
  </r>
  <r>
    <s v="CUST0117"/>
    <n v="83.656990740739275"/>
    <n v="7"/>
    <n v="150.87"/>
    <n v="5"/>
    <n v="4"/>
    <n v="4"/>
    <n v="13"/>
    <x v="0"/>
  </r>
  <r>
    <s v="CUST0118"/>
    <n v="150.65699074073927"/>
    <n v="4"/>
    <n v="46.040000000000006"/>
    <n v="4"/>
    <n v="2"/>
    <n v="2"/>
    <n v="8"/>
    <x v="1"/>
  </r>
  <r>
    <s v="CUST0119"/>
    <n v="122.65699074073927"/>
    <n v="5"/>
    <n v="106.08"/>
    <n v="5"/>
    <n v="3"/>
    <n v="3"/>
    <n v="11"/>
    <x v="0"/>
  </r>
  <r>
    <s v="CUST0120"/>
    <n v="92.656990740739275"/>
    <n v="5"/>
    <n v="88.56"/>
    <n v="5"/>
    <n v="3"/>
    <n v="3"/>
    <n v="11"/>
    <x v="0"/>
  </r>
  <r>
    <s v="CUST0121"/>
    <n v="185.65699074073927"/>
    <n v="2"/>
    <n v="44.730000000000004"/>
    <n v="4"/>
    <n v="1"/>
    <n v="2"/>
    <n v="7"/>
    <x v="1"/>
  </r>
  <r>
    <s v="CUST0122"/>
    <n v="124.65699074073927"/>
    <n v="3"/>
    <n v="45.870000000000005"/>
    <n v="5"/>
    <n v="2"/>
    <n v="2"/>
    <n v="9"/>
    <x v="1"/>
  </r>
  <r>
    <s v="CUST0123"/>
    <n v="130.65699074073927"/>
    <n v="3"/>
    <n v="59.820000000000007"/>
    <n v="5"/>
    <n v="2"/>
    <n v="2"/>
    <n v="9"/>
    <x v="1"/>
  </r>
  <r>
    <s v="CUST0124"/>
    <n v="254.65699074073927"/>
    <n v="2"/>
    <n v="27.5"/>
    <n v="3"/>
    <n v="1"/>
    <n v="1"/>
    <n v="5"/>
    <x v="3"/>
  </r>
  <r>
    <s v="CUST0125"/>
    <n v="267.65699074073927"/>
    <n v="3"/>
    <n v="41.379999999999995"/>
    <n v="3"/>
    <n v="2"/>
    <n v="1"/>
    <n v="6"/>
    <x v="3"/>
  </r>
  <r>
    <s v="CUST0126"/>
    <n v="250.65699074073927"/>
    <n v="2"/>
    <n v="20.420000000000002"/>
    <n v="3"/>
    <n v="1"/>
    <n v="1"/>
    <n v="5"/>
    <x v="3"/>
  </r>
  <r>
    <s v="CUST0127"/>
    <n v="206.65699074073927"/>
    <n v="2"/>
    <n v="23.58"/>
    <n v="4"/>
    <n v="1"/>
    <n v="1"/>
    <n v="6"/>
    <x v="3"/>
  </r>
  <r>
    <s v="CUST0128"/>
    <n v="96.656990740739275"/>
    <n v="3"/>
    <n v="53.66"/>
    <n v="5"/>
    <n v="2"/>
    <n v="2"/>
    <n v="9"/>
    <x v="1"/>
  </r>
  <r>
    <s v="CUST0129"/>
    <n v="214.65699074073927"/>
    <n v="3"/>
    <n v="46.099999999999994"/>
    <n v="3"/>
    <n v="2"/>
    <n v="2"/>
    <n v="7"/>
    <x v="1"/>
  </r>
  <r>
    <s v="CUST0130"/>
    <n v="219.65699074073927"/>
    <n v="6"/>
    <n v="70.78"/>
    <n v="3"/>
    <n v="3"/>
    <n v="2"/>
    <n v="8"/>
    <x v="1"/>
  </r>
  <r>
    <s v="CUST0131"/>
    <n v="80.656990740739275"/>
    <n v="5"/>
    <n v="131.69"/>
    <n v="5"/>
    <n v="3"/>
    <n v="4"/>
    <n v="12"/>
    <x v="0"/>
  </r>
  <r>
    <s v="CUST0132"/>
    <n v="145.65699074073927"/>
    <n v="4"/>
    <n v="65.009999999999991"/>
    <n v="4"/>
    <n v="2"/>
    <n v="2"/>
    <n v="8"/>
    <x v="1"/>
  </r>
  <r>
    <s v="CUST0133"/>
    <n v="106.65699074073927"/>
    <n v="4"/>
    <n v="57.97"/>
    <n v="5"/>
    <n v="2"/>
    <n v="2"/>
    <n v="9"/>
    <x v="1"/>
  </r>
  <r>
    <s v="CUST0134"/>
    <n v="170.65699074073927"/>
    <n v="4"/>
    <n v="53.77"/>
    <n v="4"/>
    <n v="2"/>
    <n v="2"/>
    <n v="8"/>
    <x v="1"/>
  </r>
  <r>
    <s v="CUST0136"/>
    <n v="96.656990740739275"/>
    <n v="3"/>
    <n v="52.02"/>
    <n v="5"/>
    <n v="2"/>
    <n v="2"/>
    <n v="9"/>
    <x v="1"/>
  </r>
  <r>
    <s v="CUST0137"/>
    <n v="75.656990740739275"/>
    <n v="4"/>
    <n v="34.400000000000006"/>
    <n v="5"/>
    <n v="2"/>
    <n v="1"/>
    <n v="8"/>
    <x v="1"/>
  </r>
  <r>
    <s v="CUST0138"/>
    <n v="245.65699074073927"/>
    <n v="1"/>
    <n v="15.44"/>
    <n v="3"/>
    <n v="1"/>
    <n v="1"/>
    <n v="5"/>
    <x v="3"/>
  </r>
  <r>
    <s v="CUST0140"/>
    <n v="276.65699074073927"/>
    <n v="1"/>
    <n v="27.37"/>
    <n v="3"/>
    <n v="1"/>
    <n v="1"/>
    <n v="5"/>
    <x v="3"/>
  </r>
  <r>
    <s v="CUST0141"/>
    <n v="103.65699074073927"/>
    <n v="5"/>
    <n v="35.08"/>
    <n v="5"/>
    <n v="3"/>
    <n v="1"/>
    <n v="9"/>
    <x v="1"/>
  </r>
  <r>
    <s v="CUST0142"/>
    <n v="79.656990740739275"/>
    <n v="2"/>
    <n v="40.78"/>
    <n v="5"/>
    <n v="1"/>
    <n v="1"/>
    <n v="7"/>
    <x v="1"/>
  </r>
  <r>
    <s v="CUST0143"/>
    <n v="118.65699074073927"/>
    <n v="6"/>
    <n v="170.41"/>
    <n v="5"/>
    <n v="3"/>
    <n v="5"/>
    <n v="13"/>
    <x v="0"/>
  </r>
  <r>
    <s v="CUST0144"/>
    <n v="152.65699074073927"/>
    <n v="2"/>
    <n v="16.04"/>
    <n v="4"/>
    <n v="1"/>
    <n v="1"/>
    <n v="6"/>
    <x v="3"/>
  </r>
  <r>
    <s v="CUST0145"/>
    <n v="192.65699074073927"/>
    <n v="5"/>
    <n v="85.98"/>
    <n v="4"/>
    <n v="3"/>
    <n v="3"/>
    <n v="10"/>
    <x v="0"/>
  </r>
  <r>
    <s v="CUST0146"/>
    <n v="119.65699074073927"/>
    <n v="4"/>
    <n v="64.989999999999995"/>
    <n v="5"/>
    <n v="2"/>
    <n v="2"/>
    <n v="9"/>
    <x v="1"/>
  </r>
  <r>
    <s v="CUST0147"/>
    <n v="166.65699074073927"/>
    <n v="5"/>
    <n v="98.47999999999999"/>
    <n v="4"/>
    <n v="3"/>
    <n v="3"/>
    <n v="10"/>
    <x v="0"/>
  </r>
  <r>
    <s v="CUST0148"/>
    <n v="90.656990740739275"/>
    <n v="5"/>
    <n v="90.62"/>
    <n v="5"/>
    <n v="3"/>
    <n v="3"/>
    <n v="11"/>
    <x v="0"/>
  </r>
  <r>
    <s v="CUST0149"/>
    <n v="114.65699074073927"/>
    <n v="4"/>
    <n v="61.65"/>
    <n v="5"/>
    <n v="2"/>
    <n v="2"/>
    <n v="9"/>
    <x v="1"/>
  </r>
  <r>
    <s v="CUST0150"/>
    <n v="315.65699074073927"/>
    <n v="3"/>
    <n v="90.490000000000009"/>
    <n v="2"/>
    <n v="2"/>
    <n v="3"/>
    <n v="7"/>
    <x v="1"/>
  </r>
  <r>
    <s v="CUST0151"/>
    <n v="231.65699074073927"/>
    <n v="2"/>
    <n v="21.74"/>
    <n v="3"/>
    <n v="1"/>
    <n v="1"/>
    <n v="5"/>
    <x v="3"/>
  </r>
  <r>
    <s v="CUST0152"/>
    <n v="151.65699074073927"/>
    <n v="6"/>
    <n v="92.440000000000012"/>
    <n v="4"/>
    <n v="3"/>
    <n v="3"/>
    <n v="10"/>
    <x v="0"/>
  </r>
  <r>
    <s v="CUST0153"/>
    <n v="159.65699074073927"/>
    <n v="6"/>
    <n v="92.68"/>
    <n v="4"/>
    <n v="3"/>
    <n v="3"/>
    <n v="10"/>
    <x v="0"/>
  </r>
  <r>
    <s v="CUST0154"/>
    <n v="129.65699074073927"/>
    <n v="7"/>
    <n v="88.160000000000011"/>
    <n v="5"/>
    <n v="4"/>
    <n v="3"/>
    <n v="12"/>
    <x v="0"/>
  </r>
  <r>
    <s v="CUST0155"/>
    <n v="181.65699074073927"/>
    <n v="2"/>
    <n v="33.090000000000003"/>
    <n v="4"/>
    <n v="1"/>
    <n v="1"/>
    <n v="6"/>
    <x v="3"/>
  </r>
  <r>
    <s v="CUST0156"/>
    <n v="333.65699074073927"/>
    <n v="3"/>
    <n v="72.319999999999993"/>
    <n v="2"/>
    <n v="2"/>
    <n v="2"/>
    <n v="6"/>
    <x v="3"/>
  </r>
  <r>
    <s v="CUST0157"/>
    <n v="117.65699074073927"/>
    <n v="7"/>
    <n v="132.82999999999998"/>
    <n v="5"/>
    <n v="4"/>
    <n v="4"/>
    <n v="13"/>
    <x v="0"/>
  </r>
  <r>
    <s v="CUST0158"/>
    <n v="123.65699074073927"/>
    <n v="5"/>
    <n v="77.510000000000005"/>
    <n v="5"/>
    <n v="3"/>
    <n v="2"/>
    <n v="10"/>
    <x v="0"/>
  </r>
  <r>
    <s v="CUST0159"/>
    <n v="113.65699074073927"/>
    <n v="5"/>
    <n v="85.34"/>
    <n v="5"/>
    <n v="3"/>
    <n v="3"/>
    <n v="11"/>
    <x v="0"/>
  </r>
  <r>
    <s v="CUST0160"/>
    <n v="78.656990740739275"/>
    <n v="4"/>
    <n v="59.02"/>
    <n v="5"/>
    <n v="2"/>
    <n v="2"/>
    <n v="9"/>
    <x v="1"/>
  </r>
  <r>
    <s v="CUST0161"/>
    <n v="85.656990740739275"/>
    <n v="8"/>
    <n v="103.61000000000001"/>
    <n v="5"/>
    <n v="4"/>
    <n v="3"/>
    <n v="12"/>
    <x v="0"/>
  </r>
  <r>
    <s v="CUST0162"/>
    <n v="201.65699074073927"/>
    <n v="2"/>
    <n v="14.67"/>
    <n v="4"/>
    <n v="1"/>
    <n v="1"/>
    <n v="6"/>
    <x v="3"/>
  </r>
  <r>
    <s v="CUST0163"/>
    <n v="283.65699074073927"/>
    <n v="3"/>
    <n v="29.840000000000003"/>
    <n v="3"/>
    <n v="2"/>
    <n v="1"/>
    <n v="6"/>
    <x v="3"/>
  </r>
  <r>
    <s v="CUST0164"/>
    <n v="169.65699074073927"/>
    <n v="4"/>
    <n v="52.29"/>
    <n v="4"/>
    <n v="2"/>
    <n v="2"/>
    <n v="8"/>
    <x v="1"/>
  </r>
  <r>
    <s v="CUST0165"/>
    <n v="187.65699074073927"/>
    <n v="4"/>
    <n v="85.34"/>
    <n v="4"/>
    <n v="2"/>
    <n v="3"/>
    <n v="9"/>
    <x v="1"/>
  </r>
  <r>
    <s v="CUST0166"/>
    <n v="73.656990740739275"/>
    <n v="4"/>
    <n v="137.26"/>
    <n v="5"/>
    <n v="2"/>
    <n v="4"/>
    <n v="11"/>
    <x v="0"/>
  </r>
  <r>
    <s v="CUST0167"/>
    <n v="316.65699074073927"/>
    <n v="1"/>
    <n v="10.17"/>
    <n v="2"/>
    <n v="1"/>
    <n v="1"/>
    <n v="4"/>
    <x v="3"/>
  </r>
  <r>
    <s v="CUST0168"/>
    <n v="111.65699074073927"/>
    <n v="3"/>
    <n v="58.050000000000004"/>
    <n v="5"/>
    <n v="2"/>
    <n v="2"/>
    <n v="9"/>
    <x v="1"/>
  </r>
  <r>
    <s v="CUST0169"/>
    <n v="391.65699074073927"/>
    <n v="2"/>
    <n v="53.61"/>
    <n v="1"/>
    <n v="1"/>
    <n v="2"/>
    <n v="4"/>
    <x v="3"/>
  </r>
  <r>
    <s v="CUST0170"/>
    <n v="99.656990740739275"/>
    <n v="4"/>
    <n v="62.59"/>
    <n v="5"/>
    <n v="2"/>
    <n v="2"/>
    <n v="9"/>
    <x v="1"/>
  </r>
  <r>
    <s v="CUST0171"/>
    <n v="146.65699074073927"/>
    <n v="3"/>
    <n v="37.590000000000003"/>
    <n v="4"/>
    <n v="2"/>
    <n v="1"/>
    <n v="7"/>
    <x v="1"/>
  </r>
  <r>
    <s v="CUST0172"/>
    <n v="123.65699074073927"/>
    <n v="3"/>
    <n v="61.62"/>
    <n v="5"/>
    <n v="2"/>
    <n v="2"/>
    <n v="9"/>
    <x v="1"/>
  </r>
  <r>
    <s v="CUST0173"/>
    <n v="96.656990740739275"/>
    <n v="4"/>
    <n v="52.510000000000005"/>
    <n v="5"/>
    <n v="2"/>
    <n v="2"/>
    <n v="9"/>
    <x v="1"/>
  </r>
  <r>
    <s v="CUST0174"/>
    <n v="107.65699074073927"/>
    <n v="2"/>
    <n v="55.1"/>
    <n v="5"/>
    <n v="1"/>
    <n v="2"/>
    <n v="8"/>
    <x v="1"/>
  </r>
  <r>
    <s v="CUST0175"/>
    <n v="99.656990740739275"/>
    <n v="6"/>
    <n v="86.22"/>
    <n v="5"/>
    <n v="3"/>
    <n v="3"/>
    <n v="11"/>
    <x v="0"/>
  </r>
  <r>
    <s v="CUST0176"/>
    <n v="109.65699074073927"/>
    <n v="4"/>
    <n v="107.85"/>
    <n v="5"/>
    <n v="2"/>
    <n v="3"/>
    <n v="10"/>
    <x v="0"/>
  </r>
  <r>
    <s v="CUST0177"/>
    <n v="84.656990740739275"/>
    <n v="5"/>
    <n v="122.91"/>
    <n v="5"/>
    <n v="3"/>
    <n v="4"/>
    <n v="12"/>
    <x v="0"/>
  </r>
  <r>
    <s v="CUST0178"/>
    <n v="163.65699074073927"/>
    <n v="5"/>
    <n v="114.12"/>
    <n v="4"/>
    <n v="3"/>
    <n v="3"/>
    <n v="10"/>
    <x v="0"/>
  </r>
  <r>
    <s v="CUST0179"/>
    <n v="105.65699074073927"/>
    <n v="5"/>
    <n v="55.540000000000006"/>
    <n v="5"/>
    <n v="3"/>
    <n v="2"/>
    <n v="10"/>
    <x v="0"/>
  </r>
  <r>
    <s v="CUST0180"/>
    <n v="398.65699074073927"/>
    <n v="1"/>
    <n v="12.12"/>
    <n v="1"/>
    <n v="1"/>
    <n v="1"/>
    <n v="3"/>
    <x v="4"/>
  </r>
  <r>
    <s v="CUST0181"/>
    <n v="251.65699074073927"/>
    <n v="4"/>
    <n v="34.24"/>
    <n v="3"/>
    <n v="2"/>
    <n v="1"/>
    <n v="6"/>
    <x v="3"/>
  </r>
  <r>
    <s v="CUST0182"/>
    <n v="177.65699074073927"/>
    <n v="3"/>
    <n v="33.46"/>
    <n v="4"/>
    <n v="2"/>
    <n v="1"/>
    <n v="7"/>
    <x v="1"/>
  </r>
  <r>
    <s v="CUST0183"/>
    <n v="148.65699074073927"/>
    <n v="2"/>
    <n v="76.81"/>
    <n v="4"/>
    <n v="1"/>
    <n v="2"/>
    <n v="7"/>
    <x v="1"/>
  </r>
  <r>
    <s v="CUST0184"/>
    <n v="221.65699074073927"/>
    <n v="2"/>
    <n v="9.69"/>
    <n v="3"/>
    <n v="1"/>
    <n v="1"/>
    <n v="5"/>
    <x v="3"/>
  </r>
  <r>
    <s v="CUST0185"/>
    <n v="82.656990740739275"/>
    <n v="2"/>
    <n v="32.299999999999997"/>
    <n v="5"/>
    <n v="1"/>
    <n v="1"/>
    <n v="7"/>
    <x v="1"/>
  </r>
  <r>
    <s v="CUST0186"/>
    <n v="269.65699074073927"/>
    <n v="2"/>
    <n v="17.36"/>
    <n v="3"/>
    <n v="1"/>
    <n v="1"/>
    <n v="5"/>
    <x v="3"/>
  </r>
  <r>
    <s v="CUST0187"/>
    <n v="196.65699074073927"/>
    <n v="2"/>
    <n v="33.97"/>
    <n v="4"/>
    <n v="1"/>
    <n v="1"/>
    <n v="6"/>
    <x v="3"/>
  </r>
  <r>
    <s v="CUST0188"/>
    <n v="109.65699074073927"/>
    <n v="5"/>
    <n v="60.47"/>
    <n v="5"/>
    <n v="3"/>
    <n v="2"/>
    <n v="10"/>
    <x v="0"/>
  </r>
  <r>
    <s v="CUST0189"/>
    <n v="326.65699074073927"/>
    <n v="1"/>
    <n v="17.079999999999998"/>
    <n v="2"/>
    <n v="1"/>
    <n v="1"/>
    <n v="4"/>
    <x v="3"/>
  </r>
  <r>
    <s v="CUST0190"/>
    <n v="240.65699074073927"/>
    <n v="1"/>
    <n v="33.44"/>
    <n v="3"/>
    <n v="1"/>
    <n v="1"/>
    <n v="5"/>
    <x v="3"/>
  </r>
  <r>
    <s v="CUST0191"/>
    <n v="132.65699074073927"/>
    <n v="1"/>
    <n v="16.14"/>
    <n v="5"/>
    <n v="1"/>
    <n v="1"/>
    <n v="7"/>
    <x v="1"/>
  </r>
  <r>
    <s v="CUST0192"/>
    <n v="115.65699074073927"/>
    <n v="3"/>
    <n v="33.65"/>
    <n v="5"/>
    <n v="2"/>
    <n v="1"/>
    <n v="8"/>
    <x v="1"/>
  </r>
  <r>
    <s v="CUST0193"/>
    <n v="201.65699074073927"/>
    <n v="4"/>
    <n v="58.100000000000009"/>
    <n v="4"/>
    <n v="2"/>
    <n v="2"/>
    <n v="8"/>
    <x v="1"/>
  </r>
  <r>
    <s v="CUST0194"/>
    <n v="291.65699074073927"/>
    <n v="2"/>
    <n v="19.810000000000002"/>
    <n v="2"/>
    <n v="1"/>
    <n v="1"/>
    <n v="4"/>
    <x v="3"/>
  </r>
  <r>
    <s v="CUST0195"/>
    <n v="77.656990740739275"/>
    <n v="4"/>
    <n v="52.35"/>
    <n v="5"/>
    <n v="2"/>
    <n v="2"/>
    <n v="9"/>
    <x v="1"/>
  </r>
  <r>
    <s v="CUST0196"/>
    <n v="217.65699074073927"/>
    <n v="2"/>
    <n v="23.36"/>
    <n v="3"/>
    <n v="1"/>
    <n v="1"/>
    <n v="5"/>
    <x v="3"/>
  </r>
  <r>
    <s v="CUST0197"/>
    <n v="194.65699074073927"/>
    <n v="1"/>
    <n v="4.26"/>
    <n v="4"/>
    <n v="1"/>
    <n v="1"/>
    <n v="6"/>
    <x v="3"/>
  </r>
  <r>
    <s v="CUST0198"/>
    <n v="111.65699074073927"/>
    <n v="5"/>
    <n v="61.879999999999995"/>
    <n v="5"/>
    <n v="3"/>
    <n v="2"/>
    <n v="10"/>
    <x v="0"/>
  </r>
  <r>
    <s v="CUST0199"/>
    <n v="122.65699074073927"/>
    <n v="4"/>
    <n v="41.640000000000008"/>
    <n v="5"/>
    <n v="2"/>
    <n v="2"/>
    <n v="9"/>
    <x v="1"/>
  </r>
  <r>
    <s v="CUST0200"/>
    <n v="74.656990740739275"/>
    <n v="2"/>
    <n v="45.68"/>
    <n v="5"/>
    <n v="1"/>
    <n v="2"/>
    <n v="8"/>
    <x v="1"/>
  </r>
  <r>
    <s v="CUST0201"/>
    <n v="88.656990740739275"/>
    <n v="3"/>
    <n v="26.67"/>
    <n v="5"/>
    <n v="2"/>
    <n v="1"/>
    <n v="8"/>
    <x v="1"/>
  </r>
  <r>
    <s v="CUST0202"/>
    <n v="82.656990740739275"/>
    <n v="5"/>
    <n v="85.24"/>
    <n v="5"/>
    <n v="3"/>
    <n v="3"/>
    <n v="11"/>
    <x v="0"/>
  </r>
  <r>
    <s v="CUST0203"/>
    <n v="325.65699074073927"/>
    <n v="1"/>
    <n v="8.8000000000000007"/>
    <n v="2"/>
    <n v="1"/>
    <n v="1"/>
    <n v="4"/>
    <x v="3"/>
  </r>
  <r>
    <s v="CUST0204"/>
    <n v="86.656990740739275"/>
    <n v="3"/>
    <n v="20.82"/>
    <n v="5"/>
    <n v="2"/>
    <n v="1"/>
    <n v="8"/>
    <x v="1"/>
  </r>
  <r>
    <s v="CUST0205"/>
    <n v="192.65699074073927"/>
    <n v="1"/>
    <n v="5.19"/>
    <n v="4"/>
    <n v="1"/>
    <n v="1"/>
    <n v="6"/>
    <x v="3"/>
  </r>
  <r>
    <s v="CUST0206"/>
    <n v="252.65699074073927"/>
    <n v="3"/>
    <n v="63.080000000000005"/>
    <n v="3"/>
    <n v="2"/>
    <n v="2"/>
    <n v="7"/>
    <x v="1"/>
  </r>
  <r>
    <s v="CUST0207"/>
    <n v="93.656990740739275"/>
    <n v="2"/>
    <n v="22.57"/>
    <n v="5"/>
    <n v="1"/>
    <n v="1"/>
    <n v="7"/>
    <x v="1"/>
  </r>
  <r>
    <s v="CUST0208"/>
    <n v="214.65699074073927"/>
    <n v="3"/>
    <n v="61.43"/>
    <n v="3"/>
    <n v="2"/>
    <n v="2"/>
    <n v="7"/>
    <x v="1"/>
  </r>
  <r>
    <s v="CUST0209"/>
    <n v="214.65699074073927"/>
    <n v="3"/>
    <n v="41"/>
    <n v="3"/>
    <n v="2"/>
    <n v="1"/>
    <n v="6"/>
    <x v="3"/>
  </r>
  <r>
    <s v="CUST0210"/>
    <n v="247.65699074073927"/>
    <n v="4"/>
    <n v="47.959999999999994"/>
    <n v="3"/>
    <n v="2"/>
    <n v="2"/>
    <n v="7"/>
    <x v="1"/>
  </r>
  <r>
    <s v="CUST0211"/>
    <n v="86.656990740739275"/>
    <n v="2"/>
    <n v="21.21"/>
    <n v="5"/>
    <n v="1"/>
    <n v="1"/>
    <n v="7"/>
    <x v="1"/>
  </r>
  <r>
    <s v="CUST0213"/>
    <n v="69.656990740739275"/>
    <n v="3"/>
    <n v="40.739999999999995"/>
    <n v="5"/>
    <n v="2"/>
    <n v="1"/>
    <n v="8"/>
    <x v="1"/>
  </r>
  <r>
    <s v="CUST0214"/>
    <n v="205.65699074073927"/>
    <n v="4"/>
    <n v="29.38"/>
    <n v="4"/>
    <n v="2"/>
    <n v="1"/>
    <n v="7"/>
    <x v="1"/>
  </r>
  <r>
    <s v="CUST0215"/>
    <n v="242.65699074073927"/>
    <n v="6"/>
    <n v="123.08"/>
    <n v="3"/>
    <n v="3"/>
    <n v="4"/>
    <n v="10"/>
    <x v="0"/>
  </r>
  <r>
    <s v="CUST0216"/>
    <n v="138.65699074073927"/>
    <n v="5"/>
    <n v="158.79999999999998"/>
    <n v="5"/>
    <n v="3"/>
    <n v="5"/>
    <n v="13"/>
    <x v="0"/>
  </r>
  <r>
    <s v="CUST0217"/>
    <n v="153.65699074073927"/>
    <n v="3"/>
    <n v="33.950000000000003"/>
    <n v="4"/>
    <n v="2"/>
    <n v="1"/>
    <n v="7"/>
    <x v="1"/>
  </r>
  <r>
    <s v="CUST0218"/>
    <n v="88.656990740739275"/>
    <n v="3"/>
    <n v="59.46"/>
    <n v="5"/>
    <n v="2"/>
    <n v="2"/>
    <n v="9"/>
    <x v="1"/>
  </r>
  <r>
    <s v="CUST0219"/>
    <n v="73.656990740739275"/>
    <n v="2"/>
    <n v="47.76"/>
    <n v="5"/>
    <n v="1"/>
    <n v="2"/>
    <n v="8"/>
    <x v="1"/>
  </r>
  <r>
    <s v="CUST0220"/>
    <n v="151.65699074073927"/>
    <n v="3"/>
    <n v="73.260000000000005"/>
    <n v="4"/>
    <n v="2"/>
    <n v="2"/>
    <n v="8"/>
    <x v="1"/>
  </r>
  <r>
    <s v="CUST0221"/>
    <n v="406.65699074073927"/>
    <n v="2"/>
    <n v="30.95"/>
    <n v="1"/>
    <n v="1"/>
    <n v="1"/>
    <n v="3"/>
    <x v="4"/>
  </r>
  <r>
    <s v="CUST0222"/>
    <n v="70.656990740739275"/>
    <n v="4"/>
    <n v="30.69"/>
    <n v="5"/>
    <n v="2"/>
    <n v="1"/>
    <n v="8"/>
    <x v="1"/>
  </r>
  <r>
    <s v="CUST0223"/>
    <n v="121.65699074073927"/>
    <n v="5"/>
    <n v="61.239999999999995"/>
    <n v="5"/>
    <n v="3"/>
    <n v="2"/>
    <n v="10"/>
    <x v="0"/>
  </r>
  <r>
    <s v="CUST0224"/>
    <n v="74.656990740739275"/>
    <n v="6"/>
    <n v="116.16"/>
    <n v="5"/>
    <n v="3"/>
    <n v="3"/>
    <n v="11"/>
    <x v="0"/>
  </r>
  <r>
    <s v="CUST0225"/>
    <n v="169.65699074073927"/>
    <n v="3"/>
    <n v="24.72"/>
    <n v="4"/>
    <n v="2"/>
    <n v="1"/>
    <n v="7"/>
    <x v="1"/>
  </r>
  <r>
    <s v="CUST0226"/>
    <n v="88.656990740739275"/>
    <n v="7"/>
    <n v="108.13000000000001"/>
    <n v="5"/>
    <n v="4"/>
    <n v="3"/>
    <n v="12"/>
    <x v="0"/>
  </r>
  <r>
    <s v="CUST0227"/>
    <n v="130.65699074073927"/>
    <n v="6"/>
    <n v="126.89"/>
    <n v="5"/>
    <n v="3"/>
    <n v="4"/>
    <n v="12"/>
    <x v="0"/>
  </r>
  <r>
    <s v="CUST0228"/>
    <n v="134.65699074073927"/>
    <n v="4"/>
    <n v="37.58"/>
    <n v="5"/>
    <n v="2"/>
    <n v="1"/>
    <n v="8"/>
    <x v="1"/>
  </r>
  <r>
    <s v="CUST0229"/>
    <n v="132.65699074073927"/>
    <n v="4"/>
    <n v="70.73"/>
    <n v="5"/>
    <n v="2"/>
    <n v="2"/>
    <n v="9"/>
    <x v="1"/>
  </r>
  <r>
    <s v="CUST0231"/>
    <n v="128.65699074073927"/>
    <n v="3"/>
    <n v="55.25"/>
    <n v="5"/>
    <n v="2"/>
    <n v="2"/>
    <n v="9"/>
    <x v="1"/>
  </r>
  <r>
    <s v="CUST0232"/>
    <n v="133.65699074073927"/>
    <n v="2"/>
    <n v="9.9400000000000013"/>
    <n v="5"/>
    <n v="1"/>
    <n v="1"/>
    <n v="7"/>
    <x v="1"/>
  </r>
  <r>
    <s v="CUST0233"/>
    <n v="210.65699074073927"/>
    <n v="3"/>
    <n v="61.039999999999992"/>
    <n v="4"/>
    <n v="2"/>
    <n v="2"/>
    <n v="8"/>
    <x v="1"/>
  </r>
  <r>
    <s v="CUST0234"/>
    <n v="157.65699074073927"/>
    <n v="2"/>
    <n v="22.16"/>
    <n v="4"/>
    <n v="1"/>
    <n v="1"/>
    <n v="6"/>
    <x v="3"/>
  </r>
  <r>
    <s v="CUST0235"/>
    <n v="97.656990740739275"/>
    <n v="2"/>
    <n v="54.569999999999993"/>
    <n v="5"/>
    <n v="1"/>
    <n v="2"/>
    <n v="8"/>
    <x v="1"/>
  </r>
  <r>
    <s v="CUST0236"/>
    <n v="103.65699074073927"/>
    <n v="5"/>
    <n v="70.13"/>
    <n v="5"/>
    <n v="3"/>
    <n v="2"/>
    <n v="10"/>
    <x v="0"/>
  </r>
  <r>
    <s v="CUST0237"/>
    <n v="70.656990740739275"/>
    <n v="5"/>
    <n v="92.73"/>
    <n v="5"/>
    <n v="3"/>
    <n v="3"/>
    <n v="11"/>
    <x v="0"/>
  </r>
  <r>
    <s v="CUST0238"/>
    <n v="237.65699074073927"/>
    <n v="1"/>
    <n v="34.880000000000003"/>
    <n v="3"/>
    <n v="1"/>
    <n v="1"/>
    <n v="5"/>
    <x v="3"/>
  </r>
  <r>
    <s v="CUST0239"/>
    <n v="150.65699074073927"/>
    <n v="4"/>
    <n v="85.9"/>
    <n v="4"/>
    <n v="2"/>
    <n v="3"/>
    <n v="9"/>
    <x v="1"/>
  </r>
  <r>
    <s v="CUST0240"/>
    <n v="86.656990740739275"/>
    <n v="1"/>
    <n v="12.43"/>
    <n v="5"/>
    <n v="1"/>
    <n v="1"/>
    <n v="7"/>
    <x v="1"/>
  </r>
  <r>
    <s v="CUST0241"/>
    <n v="103.65699074073927"/>
    <n v="3"/>
    <n v="51.7"/>
    <n v="5"/>
    <n v="2"/>
    <n v="2"/>
    <n v="9"/>
    <x v="1"/>
  </r>
  <r>
    <s v="CUST0242"/>
    <n v="79.656990740739275"/>
    <n v="4"/>
    <n v="97.14"/>
    <n v="5"/>
    <n v="2"/>
    <n v="3"/>
    <n v="10"/>
    <x v="0"/>
  </r>
  <r>
    <s v="CUST0243"/>
    <n v="195.65699074073927"/>
    <n v="5"/>
    <n v="101.22"/>
    <n v="4"/>
    <n v="3"/>
    <n v="3"/>
    <n v="10"/>
    <x v="0"/>
  </r>
  <r>
    <s v="CUST0244"/>
    <n v="255.65699074073927"/>
    <n v="2"/>
    <n v="33.430000000000007"/>
    <n v="3"/>
    <n v="1"/>
    <n v="1"/>
    <n v="5"/>
    <x v="3"/>
  </r>
  <r>
    <s v="CUST0245"/>
    <n v="79.656990740739275"/>
    <n v="3"/>
    <n v="70.489999999999995"/>
    <n v="5"/>
    <n v="2"/>
    <n v="2"/>
    <n v="9"/>
    <x v="1"/>
  </r>
  <r>
    <s v="CUST0246"/>
    <n v="232.65699074073927"/>
    <n v="3"/>
    <n v="37.870000000000005"/>
    <n v="3"/>
    <n v="2"/>
    <n v="1"/>
    <n v="6"/>
    <x v="3"/>
  </r>
  <r>
    <s v="CUST0247"/>
    <n v="129.65699074073927"/>
    <n v="2"/>
    <n v="11.96"/>
    <n v="5"/>
    <n v="1"/>
    <n v="1"/>
    <n v="7"/>
    <x v="1"/>
  </r>
  <r>
    <s v="CUST0249"/>
    <n v="170.65699074073927"/>
    <n v="2"/>
    <n v="49.29"/>
    <n v="4"/>
    <n v="1"/>
    <n v="2"/>
    <n v="7"/>
    <x v="1"/>
  </r>
  <r>
    <s v="CUST0250"/>
    <n v="148.65699074073927"/>
    <n v="3"/>
    <n v="47.45"/>
    <n v="4"/>
    <n v="2"/>
    <n v="2"/>
    <n v="8"/>
    <x v="1"/>
  </r>
  <r>
    <s v="CUST0251"/>
    <n v="92.656990740739275"/>
    <n v="7"/>
    <n v="123.67"/>
    <n v="5"/>
    <n v="4"/>
    <n v="4"/>
    <n v="13"/>
    <x v="0"/>
  </r>
  <r>
    <s v="CUST0254"/>
    <n v="298.65699074073927"/>
    <n v="2"/>
    <n v="21.060000000000002"/>
    <n v="2"/>
    <n v="1"/>
    <n v="1"/>
    <n v="4"/>
    <x v="3"/>
  </r>
  <r>
    <s v="CUST0255"/>
    <n v="321.65699074073927"/>
    <n v="1"/>
    <n v="11.89"/>
    <n v="2"/>
    <n v="1"/>
    <n v="1"/>
    <n v="4"/>
    <x v="3"/>
  </r>
  <r>
    <s v="CUST0256"/>
    <n v="175.65699074073927"/>
    <n v="1"/>
    <n v="4.12"/>
    <n v="4"/>
    <n v="1"/>
    <n v="1"/>
    <n v="6"/>
    <x v="3"/>
  </r>
  <r>
    <s v="CUST0257"/>
    <n v="94.656990740739275"/>
    <n v="5"/>
    <n v="84.58"/>
    <n v="5"/>
    <n v="3"/>
    <n v="3"/>
    <n v="11"/>
    <x v="0"/>
  </r>
  <r>
    <s v="CUST0258"/>
    <n v="320.65699074073927"/>
    <n v="1"/>
    <n v="12.22"/>
    <n v="2"/>
    <n v="1"/>
    <n v="1"/>
    <n v="4"/>
    <x v="3"/>
  </r>
  <r>
    <s v="CUST0259"/>
    <n v="316.65699074073927"/>
    <n v="2"/>
    <n v="59.36"/>
    <n v="2"/>
    <n v="1"/>
    <n v="2"/>
    <n v="5"/>
    <x v="3"/>
  </r>
  <r>
    <s v="CUST0260"/>
    <n v="155.65699074073927"/>
    <n v="1"/>
    <n v="33.6"/>
    <n v="4"/>
    <n v="1"/>
    <n v="1"/>
    <n v="6"/>
    <x v="3"/>
  </r>
  <r>
    <s v="CUST0261"/>
    <n v="108.65699074073927"/>
    <n v="6"/>
    <n v="60.890000000000008"/>
    <n v="5"/>
    <n v="3"/>
    <n v="2"/>
    <n v="10"/>
    <x v="0"/>
  </r>
  <r>
    <s v="CUST0262"/>
    <n v="76.656990740739275"/>
    <n v="5"/>
    <n v="121.51"/>
    <n v="5"/>
    <n v="3"/>
    <n v="4"/>
    <n v="12"/>
    <x v="0"/>
  </r>
  <r>
    <s v="CUST0263"/>
    <n v="157.65699074073927"/>
    <n v="3"/>
    <n v="57.67"/>
    <n v="4"/>
    <n v="2"/>
    <n v="2"/>
    <n v="8"/>
    <x v="1"/>
  </r>
  <r>
    <s v="CUST0264"/>
    <n v="96.656990740739275"/>
    <n v="6"/>
    <n v="126.84"/>
    <n v="5"/>
    <n v="3"/>
    <n v="4"/>
    <n v="12"/>
    <x v="0"/>
  </r>
  <r>
    <s v="CUST0265"/>
    <n v="74.656990740739275"/>
    <n v="2"/>
    <n v="50.75"/>
    <n v="5"/>
    <n v="1"/>
    <n v="2"/>
    <n v="8"/>
    <x v="1"/>
  </r>
  <r>
    <s v="CUST0266"/>
    <n v="161.65699074073927"/>
    <n v="4"/>
    <n v="37.729999999999997"/>
    <n v="4"/>
    <n v="2"/>
    <n v="1"/>
    <n v="7"/>
    <x v="1"/>
  </r>
  <r>
    <s v="CUST0267"/>
    <n v="195.65699074073927"/>
    <n v="6"/>
    <n v="140.88999999999999"/>
    <n v="4"/>
    <n v="3"/>
    <n v="4"/>
    <n v="11"/>
    <x v="0"/>
  </r>
  <r>
    <s v="CUST0268"/>
    <n v="281.65699074073927"/>
    <n v="3"/>
    <n v="80.47"/>
    <n v="3"/>
    <n v="2"/>
    <n v="3"/>
    <n v="8"/>
    <x v="1"/>
  </r>
  <r>
    <s v="CUST0269"/>
    <n v="254.65699074073927"/>
    <n v="4"/>
    <n v="70.960000000000008"/>
    <n v="3"/>
    <n v="2"/>
    <n v="2"/>
    <n v="7"/>
    <x v="1"/>
  </r>
  <r>
    <s v="CUST0270"/>
    <n v="198.65699074073927"/>
    <n v="4"/>
    <n v="83.37"/>
    <n v="4"/>
    <n v="2"/>
    <n v="3"/>
    <n v="9"/>
    <x v="1"/>
  </r>
  <r>
    <s v="CUST0271"/>
    <n v="112.65699074073927"/>
    <n v="5"/>
    <n v="117.98"/>
    <n v="5"/>
    <n v="3"/>
    <n v="4"/>
    <n v="12"/>
    <x v="0"/>
  </r>
  <r>
    <s v="CUST0272"/>
    <n v="429.65699074073927"/>
    <n v="1"/>
    <n v="4.37"/>
    <n v="1"/>
    <n v="1"/>
    <n v="1"/>
    <n v="3"/>
    <x v="4"/>
  </r>
  <r>
    <s v="CUST0273"/>
    <n v="261.65699074073927"/>
    <n v="3"/>
    <n v="55.449999999999996"/>
    <n v="3"/>
    <n v="2"/>
    <n v="2"/>
    <n v="7"/>
    <x v="1"/>
  </r>
  <r>
    <s v="CUST0274"/>
    <n v="108.65699074073927"/>
    <n v="3"/>
    <n v="71.960000000000008"/>
    <n v="5"/>
    <n v="2"/>
    <n v="2"/>
    <n v="9"/>
    <x v="1"/>
  </r>
  <r>
    <s v="CUST0275"/>
    <n v="318.65699074073927"/>
    <n v="2"/>
    <n v="27.740000000000002"/>
    <n v="2"/>
    <n v="1"/>
    <n v="1"/>
    <n v="4"/>
    <x v="3"/>
  </r>
  <r>
    <s v="CUST0276"/>
    <n v="283.65699074073927"/>
    <n v="2"/>
    <n v="48.74"/>
    <n v="3"/>
    <n v="1"/>
    <n v="2"/>
    <n v="6"/>
    <x v="3"/>
  </r>
  <r>
    <s v="CUST0277"/>
    <n v="206.65699074073927"/>
    <n v="3"/>
    <n v="34.480000000000004"/>
    <n v="4"/>
    <n v="2"/>
    <n v="1"/>
    <n v="7"/>
    <x v="1"/>
  </r>
  <r>
    <s v="CUST0278"/>
    <n v="155.65699074073927"/>
    <n v="2"/>
    <n v="27.89"/>
    <n v="4"/>
    <n v="1"/>
    <n v="1"/>
    <n v="6"/>
    <x v="3"/>
  </r>
  <r>
    <s v="CUST0279"/>
    <n v="406.65699074073927"/>
    <n v="1"/>
    <n v="5.19"/>
    <n v="1"/>
    <n v="1"/>
    <n v="1"/>
    <n v="3"/>
    <x v="4"/>
  </r>
  <r>
    <s v="CUST0280"/>
    <n v="264.65699074073927"/>
    <n v="2"/>
    <n v="11.09"/>
    <n v="3"/>
    <n v="1"/>
    <n v="1"/>
    <n v="5"/>
    <x v="3"/>
  </r>
  <r>
    <s v="CUST0281"/>
    <n v="266.65699074073927"/>
    <n v="3"/>
    <n v="47.22"/>
    <n v="3"/>
    <n v="2"/>
    <n v="2"/>
    <n v="7"/>
    <x v="1"/>
  </r>
  <r>
    <s v="CUST0282"/>
    <n v="94.656990740739275"/>
    <n v="6"/>
    <n v="70.48"/>
    <n v="5"/>
    <n v="3"/>
    <n v="2"/>
    <n v="10"/>
    <x v="0"/>
  </r>
  <r>
    <s v="CUST0283"/>
    <n v="107.65699074073927"/>
    <n v="1"/>
    <n v="5.6"/>
    <n v="5"/>
    <n v="1"/>
    <n v="1"/>
    <n v="7"/>
    <x v="1"/>
  </r>
  <r>
    <s v="CUST0284"/>
    <n v="126.65699074073927"/>
    <n v="2"/>
    <n v="71.95"/>
    <n v="5"/>
    <n v="1"/>
    <n v="2"/>
    <n v="8"/>
    <x v="1"/>
  </r>
  <r>
    <s v="CUST0285"/>
    <n v="154.65699074073927"/>
    <n v="8"/>
    <n v="143.59"/>
    <n v="4"/>
    <n v="4"/>
    <n v="4"/>
    <n v="12"/>
    <x v="0"/>
  </r>
  <r>
    <s v="CUST0286"/>
    <n v="89.656990740739275"/>
    <n v="2"/>
    <n v="15.41"/>
    <n v="5"/>
    <n v="1"/>
    <n v="1"/>
    <n v="7"/>
    <x v="1"/>
  </r>
  <r>
    <s v="CUST0287"/>
    <n v="94.656990740739275"/>
    <n v="4"/>
    <n v="40.15"/>
    <n v="5"/>
    <n v="2"/>
    <n v="1"/>
    <n v="8"/>
    <x v="1"/>
  </r>
  <r>
    <s v="CUST0288"/>
    <n v="116.65699074073927"/>
    <n v="7"/>
    <n v="88.53"/>
    <n v="5"/>
    <n v="4"/>
    <n v="3"/>
    <n v="12"/>
    <x v="0"/>
  </r>
  <r>
    <s v="CUST0289"/>
    <n v="152.65699074073927"/>
    <n v="7"/>
    <n v="121.16999999999999"/>
    <n v="4"/>
    <n v="4"/>
    <n v="4"/>
    <n v="12"/>
    <x v="0"/>
  </r>
  <r>
    <s v="CUST0290"/>
    <n v="301.65699074073927"/>
    <n v="2"/>
    <n v="69.789999999999992"/>
    <n v="2"/>
    <n v="1"/>
    <n v="2"/>
    <n v="5"/>
    <x v="3"/>
  </r>
  <r>
    <s v="CUST0291"/>
    <n v="88.656990740739275"/>
    <n v="6"/>
    <n v="125.53"/>
    <n v="5"/>
    <n v="3"/>
    <n v="4"/>
    <n v="12"/>
    <x v="0"/>
  </r>
  <r>
    <s v="CUST0292"/>
    <n v="133.65699074073927"/>
    <n v="3"/>
    <n v="69.42"/>
    <n v="5"/>
    <n v="2"/>
    <n v="2"/>
    <n v="9"/>
    <x v="1"/>
  </r>
  <r>
    <s v="CUST0293"/>
    <n v="85.656990740739275"/>
    <n v="12"/>
    <n v="190.97"/>
    <n v="5"/>
    <n v="5"/>
    <n v="5"/>
    <n v="15"/>
    <x v="2"/>
  </r>
  <r>
    <s v="CUST0294"/>
    <n v="193.65699074073927"/>
    <n v="3"/>
    <n v="59.379999999999995"/>
    <n v="4"/>
    <n v="2"/>
    <n v="2"/>
    <n v="8"/>
    <x v="1"/>
  </r>
  <r>
    <s v="CUST0295"/>
    <n v="159.65699074073927"/>
    <n v="5"/>
    <n v="57.31"/>
    <n v="4"/>
    <n v="3"/>
    <n v="2"/>
    <n v="9"/>
    <x v="1"/>
  </r>
  <r>
    <s v="CUST0296"/>
    <n v="114.65699074073927"/>
    <n v="5"/>
    <n v="97.41"/>
    <n v="5"/>
    <n v="3"/>
    <n v="3"/>
    <n v="11"/>
    <x v="0"/>
  </r>
  <r>
    <s v="CUST0297"/>
    <n v="74.656990740739275"/>
    <n v="2"/>
    <n v="41.12"/>
    <n v="5"/>
    <n v="1"/>
    <n v="1"/>
    <n v="7"/>
    <x v="1"/>
  </r>
  <r>
    <s v="CUST0298"/>
    <n v="116.65699074073927"/>
    <n v="2"/>
    <n v="28.03"/>
    <n v="5"/>
    <n v="1"/>
    <n v="1"/>
    <n v="7"/>
    <x v="1"/>
  </r>
  <r>
    <s v="CUST0299"/>
    <n v="74.656990740739275"/>
    <n v="2"/>
    <n v="36.299999999999997"/>
    <n v="5"/>
    <n v="1"/>
    <n v="1"/>
    <n v="7"/>
    <x v="1"/>
  </r>
  <r>
    <s v="CUST0300"/>
    <n v="183.65699074073927"/>
    <n v="2"/>
    <n v="48.06"/>
    <n v="4"/>
    <n v="1"/>
    <n v="2"/>
    <n v="7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n v="64.5"/>
    <n v="5"/>
  </r>
  <r>
    <n v="53.9"/>
    <n v="5"/>
  </r>
  <r>
    <n v="75.75"/>
    <n v="4"/>
  </r>
  <r>
    <n v="123.07"/>
    <n v="5"/>
  </r>
  <r>
    <n v="63.34"/>
    <n v="5"/>
  </r>
  <r>
    <n v="104.63000000000001"/>
    <n v="4"/>
  </r>
  <r>
    <n v="106.62"/>
    <n v="5"/>
  </r>
  <r>
    <n v="139.02000000000001"/>
    <n v="5"/>
  </r>
  <r>
    <n v="35.17"/>
    <n v="5"/>
  </r>
  <r>
    <n v="128.11000000000001"/>
    <n v="5"/>
  </r>
  <r>
    <n v="187.09000000000003"/>
    <n v="5"/>
  </r>
  <r>
    <n v="30.9"/>
    <n v="5"/>
  </r>
  <r>
    <n v="132.01"/>
    <n v="5"/>
  </r>
  <r>
    <n v="58.190000000000005"/>
    <n v="4"/>
  </r>
  <r>
    <n v="39.26"/>
    <n v="3"/>
  </r>
  <r>
    <n v="90.009999999999991"/>
    <n v="4"/>
  </r>
  <r>
    <n v="68.16"/>
    <n v="4"/>
  </r>
  <r>
    <n v="50.73"/>
    <n v="5"/>
  </r>
  <r>
    <n v="52.31"/>
    <n v="4"/>
  </r>
  <r>
    <n v="57.05"/>
    <n v="4"/>
  </r>
  <r>
    <n v="50.93"/>
    <n v="5"/>
  </r>
  <r>
    <n v="62.489999999999995"/>
    <n v="4"/>
  </r>
  <r>
    <n v="16.66"/>
    <n v="4"/>
  </r>
  <r>
    <n v="109.94"/>
    <n v="5"/>
  </r>
  <r>
    <n v="95.759999999999991"/>
    <n v="4"/>
  </r>
  <r>
    <n v="70.66"/>
    <n v="4"/>
  </r>
  <r>
    <n v="4.8600000000000003"/>
    <n v="4"/>
  </r>
  <r>
    <n v="130.92000000000002"/>
    <n v="5"/>
  </r>
  <r>
    <n v="9.42"/>
    <n v="2"/>
  </r>
  <r>
    <n v="26.84"/>
    <n v="4"/>
  </r>
  <r>
    <n v="5.71"/>
    <n v="5"/>
  </r>
  <r>
    <n v="15.89"/>
    <n v="3"/>
  </r>
  <r>
    <n v="58.38"/>
    <n v="3"/>
  </r>
  <r>
    <n v="72.06"/>
    <n v="5"/>
  </r>
  <r>
    <n v="40.36"/>
    <n v="4"/>
  </r>
  <r>
    <n v="44.35"/>
    <n v="5"/>
  </r>
  <r>
    <n v="167.44"/>
    <n v="5"/>
  </r>
  <r>
    <n v="101.46000000000001"/>
    <n v="5"/>
  </r>
  <r>
    <n v="63.980000000000004"/>
    <n v="3"/>
  </r>
  <r>
    <n v="106.78"/>
    <n v="3"/>
  </r>
  <r>
    <n v="12.17"/>
    <n v="2"/>
  </r>
  <r>
    <n v="10.379999999999999"/>
    <n v="4"/>
  </r>
  <r>
    <n v="23.240000000000002"/>
    <n v="4"/>
  </r>
  <r>
    <n v="65.58"/>
    <n v="3"/>
  </r>
  <r>
    <n v="90.01"/>
    <n v="4"/>
  </r>
  <r>
    <n v="32.14"/>
    <n v="3"/>
  </r>
  <r>
    <n v="32.49"/>
    <n v="3"/>
  </r>
  <r>
    <n v="86.679999999999993"/>
    <n v="4"/>
  </r>
  <r>
    <n v="52.57"/>
    <n v="5"/>
  </r>
  <r>
    <n v="13.86"/>
    <n v="5"/>
  </r>
  <r>
    <n v="14.21"/>
    <n v="4"/>
  </r>
  <r>
    <n v="81.3"/>
    <n v="4"/>
  </r>
  <r>
    <n v="10.48"/>
    <n v="5"/>
  </r>
  <r>
    <n v="24.63"/>
    <n v="4"/>
  </r>
  <r>
    <n v="83.66"/>
    <n v="4"/>
  </r>
  <r>
    <n v="99.24"/>
    <n v="5"/>
  </r>
  <r>
    <n v="88.919999999999987"/>
    <n v="5"/>
  </r>
  <r>
    <n v="46.61"/>
    <n v="3"/>
  </r>
  <r>
    <n v="51.039999999999992"/>
    <n v="3"/>
  </r>
  <r>
    <n v="96.279999999999987"/>
    <n v="4"/>
  </r>
  <r>
    <n v="49.8"/>
    <n v="5"/>
  </r>
  <r>
    <n v="23.78"/>
    <n v="5"/>
  </r>
  <r>
    <n v="56.19"/>
    <n v="5"/>
  </r>
  <r>
    <n v="50.21"/>
    <n v="2"/>
  </r>
  <r>
    <n v="40.29"/>
    <n v="3"/>
  </r>
  <r>
    <n v="56.240000000000009"/>
    <n v="5"/>
  </r>
  <r>
    <n v="13.79"/>
    <n v="5"/>
  </r>
  <r>
    <n v="41.33"/>
    <n v="3"/>
  </r>
  <r>
    <n v="142.38"/>
    <n v="3"/>
  </r>
  <r>
    <n v="20.810000000000002"/>
    <n v="3"/>
  </r>
  <r>
    <n v="60.87"/>
    <n v="4"/>
  </r>
  <r>
    <n v="75.69"/>
    <n v="5"/>
  </r>
  <r>
    <n v="91.19"/>
    <n v="4"/>
  </r>
  <r>
    <n v="70.13"/>
    <n v="5"/>
  </r>
  <r>
    <n v="38.49"/>
    <n v="5"/>
  </r>
  <r>
    <n v="80.930000000000007"/>
    <n v="5"/>
  </r>
  <r>
    <n v="52.34"/>
    <n v="2"/>
  </r>
  <r>
    <n v="88.89"/>
    <n v="5"/>
  </r>
  <r>
    <n v="123.51"/>
    <n v="5"/>
  </r>
  <r>
    <n v="41.95"/>
    <n v="3"/>
  </r>
  <r>
    <n v="30.27"/>
    <n v="5"/>
  </r>
  <r>
    <n v="57.61"/>
    <n v="3"/>
  </r>
  <r>
    <n v="21.91"/>
    <n v="4"/>
  </r>
  <r>
    <n v="60.04"/>
    <n v="4"/>
  </r>
  <r>
    <n v="49.970000000000006"/>
    <n v="5"/>
  </r>
  <r>
    <n v="113.27000000000001"/>
    <n v="3"/>
  </r>
  <r>
    <n v="64.37"/>
    <n v="5"/>
  </r>
  <r>
    <n v="11.82"/>
    <n v="2"/>
  </r>
  <r>
    <n v="31.41"/>
    <n v="5"/>
  </r>
  <r>
    <n v="95.009999999999991"/>
    <n v="5"/>
  </r>
  <r>
    <n v="32.729999999999997"/>
    <n v="3"/>
  </r>
  <r>
    <n v="122.55000000000001"/>
    <n v="5"/>
  </r>
  <r>
    <n v="58.25"/>
    <n v="5"/>
  </r>
  <r>
    <n v="18.39"/>
    <n v="2"/>
  </r>
  <r>
    <n v="70.75"/>
    <n v="3"/>
  </r>
  <r>
    <n v="108.92"/>
    <n v="5"/>
  </r>
  <r>
    <n v="22.2"/>
    <n v="1"/>
  </r>
  <r>
    <n v="164.74"/>
    <n v="5"/>
  </r>
  <r>
    <n v="19.489999999999998"/>
    <n v="2"/>
  </r>
  <r>
    <n v="91.44"/>
    <n v="5"/>
  </r>
  <r>
    <n v="29.130000000000003"/>
    <n v="4"/>
  </r>
  <r>
    <n v="72.05"/>
    <n v="4"/>
  </r>
  <r>
    <n v="8.01"/>
    <n v="1"/>
  </r>
  <r>
    <n v="52.1"/>
    <n v="4"/>
  </r>
  <r>
    <n v="108.17999999999999"/>
    <n v="5"/>
  </r>
  <r>
    <n v="11.81"/>
    <n v="4"/>
  </r>
  <r>
    <n v="36.65"/>
    <n v="5"/>
  </r>
  <r>
    <n v="57.95"/>
    <n v="4"/>
  </r>
  <r>
    <n v="52.660000000000004"/>
    <n v="4"/>
  </r>
  <r>
    <n v="4.38"/>
    <n v="4"/>
  </r>
  <r>
    <n v="150.87"/>
    <n v="5"/>
  </r>
  <r>
    <n v="46.040000000000006"/>
    <n v="4"/>
  </r>
  <r>
    <n v="106.08"/>
    <n v="5"/>
  </r>
  <r>
    <n v="88.56"/>
    <n v="5"/>
  </r>
  <r>
    <n v="44.730000000000004"/>
    <n v="4"/>
  </r>
  <r>
    <n v="45.870000000000005"/>
    <n v="5"/>
  </r>
  <r>
    <n v="59.820000000000007"/>
    <n v="5"/>
  </r>
  <r>
    <n v="27.5"/>
    <n v="3"/>
  </r>
  <r>
    <n v="41.379999999999995"/>
    <n v="3"/>
  </r>
  <r>
    <n v="20.420000000000002"/>
    <n v="3"/>
  </r>
  <r>
    <n v="23.58"/>
    <n v="4"/>
  </r>
  <r>
    <n v="53.66"/>
    <n v="5"/>
  </r>
  <r>
    <n v="46.099999999999994"/>
    <n v="3"/>
  </r>
  <r>
    <n v="70.78"/>
    <n v="3"/>
  </r>
  <r>
    <n v="131.69"/>
    <n v="5"/>
  </r>
  <r>
    <n v="65.009999999999991"/>
    <n v="4"/>
  </r>
  <r>
    <n v="57.97"/>
    <n v="5"/>
  </r>
  <r>
    <n v="53.77"/>
    <n v="4"/>
  </r>
  <r>
    <n v="52.02"/>
    <n v="5"/>
  </r>
  <r>
    <n v="34.400000000000006"/>
    <n v="5"/>
  </r>
  <r>
    <n v="15.44"/>
    <n v="3"/>
  </r>
  <r>
    <n v="27.37"/>
    <n v="3"/>
  </r>
  <r>
    <n v="35.08"/>
    <n v="5"/>
  </r>
  <r>
    <n v="40.78"/>
    <n v="5"/>
  </r>
  <r>
    <n v="170.41"/>
    <n v="5"/>
  </r>
  <r>
    <n v="16.04"/>
    <n v="4"/>
  </r>
  <r>
    <n v="85.98"/>
    <n v="4"/>
  </r>
  <r>
    <n v="64.989999999999995"/>
    <n v="5"/>
  </r>
  <r>
    <n v="98.47999999999999"/>
    <n v="4"/>
  </r>
  <r>
    <n v="90.62"/>
    <n v="5"/>
  </r>
  <r>
    <n v="61.65"/>
    <n v="5"/>
  </r>
  <r>
    <n v="90.490000000000009"/>
    <n v="2"/>
  </r>
  <r>
    <n v="21.74"/>
    <n v="3"/>
  </r>
  <r>
    <n v="92.440000000000012"/>
    <n v="4"/>
  </r>
  <r>
    <n v="92.68"/>
    <n v="4"/>
  </r>
  <r>
    <n v="88.160000000000011"/>
    <n v="5"/>
  </r>
  <r>
    <n v="33.090000000000003"/>
    <n v="4"/>
  </r>
  <r>
    <n v="72.319999999999993"/>
    <n v="2"/>
  </r>
  <r>
    <n v="132.82999999999998"/>
    <n v="5"/>
  </r>
  <r>
    <n v="77.510000000000005"/>
    <n v="5"/>
  </r>
  <r>
    <n v="85.34"/>
    <n v="5"/>
  </r>
  <r>
    <n v="59.02"/>
    <n v="5"/>
  </r>
  <r>
    <n v="103.61000000000001"/>
    <n v="5"/>
  </r>
  <r>
    <n v="14.67"/>
    <n v="4"/>
  </r>
  <r>
    <n v="29.840000000000003"/>
    <n v="3"/>
  </r>
  <r>
    <n v="52.29"/>
    <n v="4"/>
  </r>
  <r>
    <n v="85.34"/>
    <n v="4"/>
  </r>
  <r>
    <n v="137.26"/>
    <n v="5"/>
  </r>
  <r>
    <n v="10.17"/>
    <n v="2"/>
  </r>
  <r>
    <n v="58.050000000000004"/>
    <n v="5"/>
  </r>
  <r>
    <n v="53.61"/>
    <n v="1"/>
  </r>
  <r>
    <n v="62.59"/>
    <n v="5"/>
  </r>
  <r>
    <n v="37.590000000000003"/>
    <n v="4"/>
  </r>
  <r>
    <n v="61.62"/>
    <n v="5"/>
  </r>
  <r>
    <n v="52.510000000000005"/>
    <n v="5"/>
  </r>
  <r>
    <n v="55.1"/>
    <n v="5"/>
  </r>
  <r>
    <n v="86.22"/>
    <n v="5"/>
  </r>
  <r>
    <n v="107.85"/>
    <n v="5"/>
  </r>
  <r>
    <n v="122.91"/>
    <n v="5"/>
  </r>
  <r>
    <n v="114.12"/>
    <n v="4"/>
  </r>
  <r>
    <n v="55.540000000000006"/>
    <n v="5"/>
  </r>
  <r>
    <n v="12.12"/>
    <n v="1"/>
  </r>
  <r>
    <n v="34.24"/>
    <n v="3"/>
  </r>
  <r>
    <n v="33.46"/>
    <n v="4"/>
  </r>
  <r>
    <n v="76.81"/>
    <n v="4"/>
  </r>
  <r>
    <n v="9.69"/>
    <n v="3"/>
  </r>
  <r>
    <n v="32.299999999999997"/>
    <n v="5"/>
  </r>
  <r>
    <n v="17.36"/>
    <n v="3"/>
  </r>
  <r>
    <n v="33.97"/>
    <n v="4"/>
  </r>
  <r>
    <n v="60.47"/>
    <n v="5"/>
  </r>
  <r>
    <n v="17.079999999999998"/>
    <n v="2"/>
  </r>
  <r>
    <n v="33.44"/>
    <n v="3"/>
  </r>
  <r>
    <n v="16.14"/>
    <n v="5"/>
  </r>
  <r>
    <n v="33.65"/>
    <n v="5"/>
  </r>
  <r>
    <n v="58.100000000000009"/>
    <n v="4"/>
  </r>
  <r>
    <n v="19.810000000000002"/>
    <n v="2"/>
  </r>
  <r>
    <n v="52.35"/>
    <n v="5"/>
  </r>
  <r>
    <n v="23.36"/>
    <n v="3"/>
  </r>
  <r>
    <n v="4.26"/>
    <n v="4"/>
  </r>
  <r>
    <n v="61.879999999999995"/>
    <n v="5"/>
  </r>
  <r>
    <n v="41.640000000000008"/>
    <n v="5"/>
  </r>
  <r>
    <n v="45.68"/>
    <n v="5"/>
  </r>
  <r>
    <n v="26.67"/>
    <n v="5"/>
  </r>
  <r>
    <n v="85.24"/>
    <n v="5"/>
  </r>
  <r>
    <n v="8.8000000000000007"/>
    <n v="2"/>
  </r>
  <r>
    <n v="20.82"/>
    <n v="5"/>
  </r>
  <r>
    <n v="5.19"/>
    <n v="4"/>
  </r>
  <r>
    <n v="63.080000000000005"/>
    <n v="3"/>
  </r>
  <r>
    <n v="22.57"/>
    <n v="5"/>
  </r>
  <r>
    <n v="61.43"/>
    <n v="3"/>
  </r>
  <r>
    <n v="41"/>
    <n v="3"/>
  </r>
  <r>
    <n v="47.959999999999994"/>
    <n v="3"/>
  </r>
  <r>
    <n v="21.21"/>
    <n v="5"/>
  </r>
  <r>
    <n v="40.739999999999995"/>
    <n v="5"/>
  </r>
  <r>
    <n v="29.38"/>
    <n v="4"/>
  </r>
  <r>
    <n v="123.08"/>
    <n v="3"/>
  </r>
  <r>
    <n v="158.79999999999998"/>
    <n v="5"/>
  </r>
  <r>
    <n v="33.950000000000003"/>
    <n v="4"/>
  </r>
  <r>
    <n v="59.46"/>
    <n v="5"/>
  </r>
  <r>
    <n v="47.76"/>
    <n v="5"/>
  </r>
  <r>
    <n v="73.260000000000005"/>
    <n v="4"/>
  </r>
  <r>
    <n v="30.95"/>
    <n v="1"/>
  </r>
  <r>
    <n v="30.69"/>
    <n v="5"/>
  </r>
  <r>
    <n v="61.239999999999995"/>
    <n v="5"/>
  </r>
  <r>
    <n v="116.16"/>
    <n v="5"/>
  </r>
  <r>
    <n v="24.72"/>
    <n v="4"/>
  </r>
  <r>
    <n v="108.13000000000001"/>
    <n v="5"/>
  </r>
  <r>
    <n v="126.89"/>
    <n v="5"/>
  </r>
  <r>
    <n v="37.58"/>
    <n v="5"/>
  </r>
  <r>
    <n v="70.73"/>
    <n v="5"/>
  </r>
  <r>
    <n v="55.25"/>
    <n v="5"/>
  </r>
  <r>
    <n v="9.9400000000000013"/>
    <n v="5"/>
  </r>
  <r>
    <n v="61.039999999999992"/>
    <n v="4"/>
  </r>
  <r>
    <n v="22.16"/>
    <n v="4"/>
  </r>
  <r>
    <n v="54.569999999999993"/>
    <n v="5"/>
  </r>
  <r>
    <n v="70.13"/>
    <n v="5"/>
  </r>
  <r>
    <n v="92.73"/>
    <n v="5"/>
  </r>
  <r>
    <n v="34.880000000000003"/>
    <n v="3"/>
  </r>
  <r>
    <n v="85.9"/>
    <n v="4"/>
  </r>
  <r>
    <n v="12.43"/>
    <n v="5"/>
  </r>
  <r>
    <n v="51.7"/>
    <n v="5"/>
  </r>
  <r>
    <n v="97.14"/>
    <n v="5"/>
  </r>
  <r>
    <n v="101.22"/>
    <n v="4"/>
  </r>
  <r>
    <n v="33.430000000000007"/>
    <n v="3"/>
  </r>
  <r>
    <n v="70.489999999999995"/>
    <n v="5"/>
  </r>
  <r>
    <n v="37.870000000000005"/>
    <n v="3"/>
  </r>
  <r>
    <n v="11.96"/>
    <n v="5"/>
  </r>
  <r>
    <n v="49.29"/>
    <n v="4"/>
  </r>
  <r>
    <n v="47.45"/>
    <n v="4"/>
  </r>
  <r>
    <n v="123.67"/>
    <n v="5"/>
  </r>
  <r>
    <n v="21.060000000000002"/>
    <n v="2"/>
  </r>
  <r>
    <n v="11.89"/>
    <n v="2"/>
  </r>
  <r>
    <n v="4.12"/>
    <n v="4"/>
  </r>
  <r>
    <n v="84.58"/>
    <n v="5"/>
  </r>
  <r>
    <n v="12.22"/>
    <n v="2"/>
  </r>
  <r>
    <n v="59.36"/>
    <n v="2"/>
  </r>
  <r>
    <n v="33.6"/>
    <n v="4"/>
  </r>
  <r>
    <n v="60.890000000000008"/>
    <n v="5"/>
  </r>
  <r>
    <n v="121.51"/>
    <n v="5"/>
  </r>
  <r>
    <n v="57.67"/>
    <n v="4"/>
  </r>
  <r>
    <n v="126.84"/>
    <n v="5"/>
  </r>
  <r>
    <n v="50.75"/>
    <n v="5"/>
  </r>
  <r>
    <n v="37.729999999999997"/>
    <n v="4"/>
  </r>
  <r>
    <n v="140.88999999999999"/>
    <n v="4"/>
  </r>
  <r>
    <n v="80.47"/>
    <n v="3"/>
  </r>
  <r>
    <n v="70.960000000000008"/>
    <n v="3"/>
  </r>
  <r>
    <n v="83.37"/>
    <n v="4"/>
  </r>
  <r>
    <n v="117.98"/>
    <n v="5"/>
  </r>
  <r>
    <n v="4.37"/>
    <n v="1"/>
  </r>
  <r>
    <n v="55.449999999999996"/>
    <n v="3"/>
  </r>
  <r>
    <n v="71.960000000000008"/>
    <n v="5"/>
  </r>
  <r>
    <n v="27.740000000000002"/>
    <n v="2"/>
  </r>
  <r>
    <n v="48.74"/>
    <n v="3"/>
  </r>
  <r>
    <n v="34.480000000000004"/>
    <n v="4"/>
  </r>
  <r>
    <n v="27.89"/>
    <n v="4"/>
  </r>
  <r>
    <n v="5.19"/>
    <n v="1"/>
  </r>
  <r>
    <n v="11.09"/>
    <n v="3"/>
  </r>
  <r>
    <n v="47.22"/>
    <n v="3"/>
  </r>
  <r>
    <n v="70.48"/>
    <n v="5"/>
  </r>
  <r>
    <n v="5.6"/>
    <n v="5"/>
  </r>
  <r>
    <n v="71.95"/>
    <n v="5"/>
  </r>
  <r>
    <n v="143.59"/>
    <n v="4"/>
  </r>
  <r>
    <n v="15.41"/>
    <n v="5"/>
  </r>
  <r>
    <n v="40.15"/>
    <n v="5"/>
  </r>
  <r>
    <n v="88.53"/>
    <n v="5"/>
  </r>
  <r>
    <n v="121.16999999999999"/>
    <n v="4"/>
  </r>
  <r>
    <n v="69.789999999999992"/>
    <n v="2"/>
  </r>
  <r>
    <n v="125.53"/>
    <n v="5"/>
  </r>
  <r>
    <n v="69.42"/>
    <n v="5"/>
  </r>
  <r>
    <n v="190.97"/>
    <n v="5"/>
  </r>
  <r>
    <n v="59.379999999999995"/>
    <n v="4"/>
  </r>
  <r>
    <n v="57.31"/>
    <n v="4"/>
  </r>
  <r>
    <n v="97.41"/>
    <n v="5"/>
  </r>
  <r>
    <n v="41.12"/>
    <n v="5"/>
  </r>
  <r>
    <n v="28.03"/>
    <n v="5"/>
  </r>
  <r>
    <n v="36.299999999999997"/>
    <n v="5"/>
  </r>
  <r>
    <n v="48.06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C05DF-87F7-4B48-A30F-E5FAB57B0BC5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291" firstHeaderRow="0" firstDataRow="1" firstDataCol="1"/>
  <pivotFields count="5">
    <pivotField dataField="1" showAll="0"/>
    <pivotField axis="axisRow" showAll="0">
      <items count="288">
        <item x="22"/>
        <item x="158"/>
        <item x="222"/>
        <item x="178"/>
        <item x="32"/>
        <item x="149"/>
        <item x="139"/>
        <item x="171"/>
        <item x="3"/>
        <item x="81"/>
        <item x="204"/>
        <item x="7"/>
        <item x="41"/>
        <item x="55"/>
        <item x="210"/>
        <item x="109"/>
        <item x="127"/>
        <item x="126"/>
        <item x="163"/>
        <item x="259"/>
        <item x="253"/>
        <item x="45"/>
        <item x="264"/>
        <item x="106"/>
        <item x="209"/>
        <item x="184"/>
        <item x="277"/>
        <item x="94"/>
        <item x="244"/>
        <item x="123"/>
        <item x="255"/>
        <item x="183"/>
        <item x="21"/>
        <item x="155"/>
        <item x="236"/>
        <item x="14"/>
        <item x="51"/>
        <item x="172"/>
        <item x="182"/>
        <item x="38"/>
        <item x="283"/>
        <item x="206"/>
        <item x="241"/>
        <item x="189"/>
        <item x="72"/>
        <item x="118"/>
        <item x="263"/>
        <item x="93"/>
        <item x="225"/>
        <item x="166"/>
        <item x="142"/>
        <item x="100"/>
        <item x="239"/>
        <item x="207"/>
        <item x="257"/>
        <item x="169"/>
        <item x="24"/>
        <item x="201"/>
        <item x="34"/>
        <item x="46"/>
        <item x="190"/>
        <item x="221"/>
        <item x="273"/>
        <item x="54"/>
        <item x="233"/>
        <item x="17"/>
        <item x="285"/>
        <item x="227"/>
        <item x="198"/>
        <item x="250"/>
        <item x="108"/>
        <item x="20"/>
        <item x="247"/>
        <item x="33"/>
        <item x="256"/>
        <item x="208"/>
        <item x="168"/>
        <item x="157"/>
        <item x="10"/>
        <item x="152"/>
        <item x="63"/>
        <item x="138"/>
        <item x="146"/>
        <item x="36"/>
        <item x="107"/>
        <item x="91"/>
        <item x="261"/>
        <item x="15"/>
        <item x="16"/>
        <item x="145"/>
        <item x="60"/>
        <item x="180"/>
        <item x="231"/>
        <item x="274"/>
        <item x="11"/>
        <item x="203"/>
        <item x="213"/>
        <item x="40"/>
        <item x="234"/>
        <item x="90"/>
        <item x="228"/>
        <item x="202"/>
        <item x="179"/>
        <item x="98"/>
        <item x="56"/>
        <item x="154"/>
        <item x="130"/>
        <item x="131"/>
        <item x="74"/>
        <item x="267"/>
        <item x="103"/>
        <item x="65"/>
        <item x="162"/>
        <item x="147"/>
        <item x="279"/>
        <item x="188"/>
        <item x="64"/>
        <item x="235"/>
        <item x="44"/>
        <item x="280"/>
        <item x="89"/>
        <item x="110"/>
        <item x="199"/>
        <item x="9"/>
        <item x="135"/>
        <item x="35"/>
        <item x="87"/>
        <item x="53"/>
        <item x="71"/>
        <item x="19"/>
        <item x="5"/>
        <item x="224"/>
        <item x="84"/>
        <item x="223"/>
        <item x="47"/>
        <item x="125"/>
        <item x="49"/>
        <item x="181"/>
        <item x="153"/>
        <item x="80"/>
        <item x="101"/>
        <item x="116"/>
        <item x="151"/>
        <item x="112"/>
        <item x="48"/>
        <item x="104"/>
        <item x="243"/>
        <item x="117"/>
        <item x="57"/>
        <item x="124"/>
        <item x="67"/>
        <item x="232"/>
        <item x="1"/>
        <item x="137"/>
        <item x="249"/>
        <item x="193"/>
        <item x="31"/>
        <item x="133"/>
        <item x="286"/>
        <item x="8"/>
        <item x="240"/>
        <item x="215"/>
        <item x="86"/>
        <item x="6"/>
        <item x="73"/>
        <item x="262"/>
        <item x="128"/>
        <item x="212"/>
        <item x="114"/>
        <item x="2"/>
        <item x="43"/>
        <item x="113"/>
        <item x="192"/>
        <item x="99"/>
        <item x="214"/>
        <item x="70"/>
        <item x="219"/>
        <item x="238"/>
        <item x="194"/>
        <item x="156"/>
        <item x="119"/>
        <item x="187"/>
        <item x="242"/>
        <item x="252"/>
        <item x="191"/>
        <item x="129"/>
        <item x="161"/>
        <item x="62"/>
        <item x="159"/>
        <item x="52"/>
        <item x="211"/>
        <item x="82"/>
        <item x="174"/>
        <item x="102"/>
        <item x="284"/>
        <item x="254"/>
        <item x="265"/>
        <item x="246"/>
        <item x="271"/>
        <item x="260"/>
        <item x="170"/>
        <item x="85"/>
        <item x="122"/>
        <item x="30"/>
        <item x="96"/>
        <item x="121"/>
        <item x="69"/>
        <item x="200"/>
        <item x="83"/>
        <item x="185"/>
        <item x="272"/>
        <item x="269"/>
        <item x="132"/>
        <item x="148"/>
        <item x="120"/>
        <item x="50"/>
        <item x="165"/>
        <item x="196"/>
        <item x="68"/>
        <item x="26"/>
        <item x="59"/>
        <item x="195"/>
        <item x="248"/>
        <item x="160"/>
        <item x="177"/>
        <item x="18"/>
        <item x="37"/>
        <item x="268"/>
        <item x="144"/>
        <item x="275"/>
        <item x="229"/>
        <item x="251"/>
        <item x="75"/>
        <item x="105"/>
        <item x="218"/>
        <item x="175"/>
        <item x="140"/>
        <item x="143"/>
        <item x="197"/>
        <item x="111"/>
        <item x="61"/>
        <item x="141"/>
        <item x="164"/>
        <item x="97"/>
        <item x="245"/>
        <item x="0"/>
        <item x="226"/>
        <item x="4"/>
        <item x="230"/>
        <item x="150"/>
        <item x="134"/>
        <item x="13"/>
        <item x="136"/>
        <item x="25"/>
        <item x="186"/>
        <item x="216"/>
        <item x="27"/>
        <item x="258"/>
        <item x="220"/>
        <item x="12"/>
        <item x="217"/>
        <item x="205"/>
        <item x="278"/>
        <item x="266"/>
        <item x="176"/>
        <item x="282"/>
        <item x="167"/>
        <item x="173"/>
        <item x="77"/>
        <item x="79"/>
        <item x="237"/>
        <item x="115"/>
        <item x="28"/>
        <item x="92"/>
        <item x="42"/>
        <item x="58"/>
        <item x="281"/>
        <item x="29"/>
        <item x="76"/>
        <item x="88"/>
        <item x="66"/>
        <item x="39"/>
        <item x="23"/>
        <item x="95"/>
        <item x="276"/>
        <item x="78"/>
        <item x="270"/>
        <item t="default"/>
      </items>
    </pivotField>
    <pivotField dataField="1" numFmtId="14" showAll="0"/>
    <pivotField showAll="0"/>
    <pivotField dataField="1" showAll="0"/>
  </pivotFields>
  <rowFields count="1">
    <field x="1"/>
  </rowFields>
  <rowItems count="2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Max of OrderDate" fld="2" subtotal="max" baseField="1" baseItem="0" numFmtId="14"/>
    <dataField name="Sum of Order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3DD99-4772-4C90-85B7-9F3543919CC9}" name="PivotTable9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E11:G28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7862F-1C80-46F5-887A-35461ECB1914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">
  <location ref="A13:B14" firstHeaderRow="0" firstDataRow="1" firstDataCol="0"/>
  <pivotFields count="9">
    <pivotField showAll="0"/>
    <pivotField numFmtId="1" showAll="0"/>
    <pivotField dataField="1" showAll="0"/>
    <pivotField dataField="1" showAll="0"/>
    <pivotField showAll="0"/>
    <pivotField showAll="0"/>
    <pivotField showAll="0"/>
    <pivotField showAll="0"/>
    <pivotField showAll="0">
      <items count="7">
        <item x="4"/>
        <item x="2"/>
        <item x="0"/>
        <item x="3"/>
        <item x="1"/>
        <item m="1" x="5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Monetary($)" fld="3" baseField="0" baseItem="0"/>
    <dataField name="Sum of Frequency(N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2AA23-6F29-404E-848A-65979CC03379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D11:D12" firstHeaderRow="1" firstDataRow="1" firstDataCol="0"/>
  <pivotFields count="9">
    <pivotField showAll="0"/>
    <pivotField numFmtId="1" showAll="0"/>
    <pivotField dataField="1" showAll="0"/>
    <pivotField showAll="0"/>
    <pivotField showAll="0"/>
    <pivotField showAll="0"/>
    <pivotField showAll="0"/>
    <pivotField showAll="0"/>
    <pivotField showAll="0">
      <items count="7">
        <item x="4"/>
        <item x="2"/>
        <item x="0"/>
        <item x="3"/>
        <item x="1"/>
        <item m="1" x="5"/>
        <item t="default"/>
      </items>
    </pivotField>
  </pivotFields>
  <rowItems count="1">
    <i/>
  </rowItems>
  <colItems count="1">
    <i/>
  </colItems>
  <dataFields count="1">
    <dataField name="Average of Frequency(N)" fld="2" subtotal="average" baseField="0" baseItem="0" numFmtId="17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A7ACB-0D7C-484E-B8A3-B6F499353229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C11:C12" firstHeaderRow="1" firstDataRow="1" firstDataCol="0"/>
  <pivotFields count="9">
    <pivotField showAll="0"/>
    <pivotField numFmtId="1" showAll="0"/>
    <pivotField showAll="0"/>
    <pivotField dataField="1" showAll="0"/>
    <pivotField showAll="0"/>
    <pivotField showAll="0"/>
    <pivotField showAll="0"/>
    <pivotField showAll="0"/>
    <pivotField showAll="0">
      <items count="7">
        <item x="4"/>
        <item x="2"/>
        <item x="0"/>
        <item x="3"/>
        <item x="1"/>
        <item m="1" x="5"/>
        <item t="default"/>
      </items>
    </pivotField>
  </pivotFields>
  <rowItems count="1">
    <i/>
  </rowItems>
  <colItems count="1">
    <i/>
  </colItems>
  <dataFields count="1">
    <dataField name="Sum of Monetary($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66971-87B7-48AB-ACE5-6A0B193317E0}" name="PivotTable4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B11:B12" firstHeaderRow="1" firstDataRow="1" firstDataCol="0"/>
  <pivotFields count="9">
    <pivotField showAll="0"/>
    <pivotField numFmtId="1" showAll="0"/>
    <pivotField showAll="0"/>
    <pivotField showAll="0"/>
    <pivotField showAll="0"/>
    <pivotField showAll="0"/>
    <pivotField showAll="0"/>
    <pivotField dataField="1" showAll="0"/>
    <pivotField showAll="0">
      <items count="7">
        <item x="4"/>
        <item x="2"/>
        <item x="0"/>
        <item x="3"/>
        <item x="1"/>
        <item m="1" x="5"/>
        <item t="default"/>
      </items>
    </pivotField>
  </pivotFields>
  <rowItems count="1">
    <i/>
  </rowItems>
  <colItems count="1">
    <i/>
  </colItems>
  <dataFields count="1">
    <dataField name="Average of RFM Score" fld="7" subtotal="average" baseField="0" baseItem="0" numFmtId="17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334B8-80AF-4D40-B9A5-EC8B5ED48CA0}" name="PivotTable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A11:A12" firstHeaderRow="1" firstDataRow="1" firstDataCol="0"/>
  <pivotFields count="9">
    <pivotField dataField="1" showAll="0"/>
    <pivotField numFmtId="1" showAll="0"/>
    <pivotField showAll="0"/>
    <pivotField showAll="0"/>
    <pivotField showAll="0"/>
    <pivotField showAll="0"/>
    <pivotField showAll="0"/>
    <pivotField showAll="0"/>
    <pivotField showAll="0">
      <items count="7">
        <item x="4"/>
        <item x="2"/>
        <item x="0"/>
        <item x="3"/>
        <item x="1"/>
        <item m="1" x="5"/>
        <item t="default"/>
      </items>
    </pivotField>
  </pivotFields>
  <rowItems count="1">
    <i/>
  </rowItems>
  <colItems count="1">
    <i/>
  </colItems>
  <dataFields count="1">
    <dataField name="Count of Custom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B5ACA-6AEA-4B45-AA70-E36630BF636F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">
  <location ref="A3:B9" firstHeaderRow="1" firstDataRow="1" firstDataCol="1"/>
  <pivotFields count="9">
    <pivotField dataField="1"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m="1"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74A0-E414-4398-8D6A-0BA47F2B949C}">
  <dimension ref="A3:K291"/>
  <sheetViews>
    <sheetView workbookViewId="0">
      <selection activeCell="H3" sqref="H3:K290"/>
    </sheetView>
  </sheetViews>
  <sheetFormatPr defaultRowHeight="14.5" x14ac:dyDescent="0.35"/>
  <cols>
    <col min="1" max="1" width="12.36328125" bestFit="1" customWidth="1"/>
    <col min="2" max="2" width="15.36328125" bestFit="1" customWidth="1"/>
    <col min="3" max="3" width="16.08984375" bestFit="1" customWidth="1"/>
    <col min="4" max="4" width="16.81640625" bestFit="1" customWidth="1"/>
    <col min="8" max="8" width="11.1796875" bestFit="1" customWidth="1"/>
    <col min="9" max="9" width="12.90625" bestFit="1" customWidth="1"/>
    <col min="10" max="10" width="12" bestFit="1" customWidth="1"/>
    <col min="11" max="11" width="11.26953125" bestFit="1" customWidth="1"/>
  </cols>
  <sheetData>
    <row r="3" spans="1:11" x14ac:dyDescent="0.35">
      <c r="A3" s="11" t="s">
        <v>1298</v>
      </c>
      <c r="B3" t="s">
        <v>1301</v>
      </c>
      <c r="C3" t="s">
        <v>1300</v>
      </c>
      <c r="D3" t="s">
        <v>1302</v>
      </c>
      <c r="F3" s="1">
        <f ca="1">TODAY()</f>
        <v>46030</v>
      </c>
      <c r="H3" t="s">
        <v>1303</v>
      </c>
      <c r="I3" t="s">
        <v>1304</v>
      </c>
      <c r="J3" t="s">
        <v>1305</v>
      </c>
      <c r="K3" t="s">
        <v>1306</v>
      </c>
    </row>
    <row r="4" spans="1:11" x14ac:dyDescent="0.35">
      <c r="A4" s="12" t="s">
        <v>56</v>
      </c>
      <c r="B4" s="13">
        <v>5</v>
      </c>
      <c r="C4" s="1">
        <v>45930.343009259261</v>
      </c>
      <c r="D4" s="13">
        <v>64.5</v>
      </c>
      <c r="H4" t="str">
        <f>A4</f>
        <v>CUST0001</v>
      </c>
      <c r="I4" s="16">
        <f ca="1">$F$3-C4</f>
        <v>99.656990740739275</v>
      </c>
      <c r="J4">
        <f>B4</f>
        <v>5</v>
      </c>
      <c r="K4">
        <f>D4</f>
        <v>64.5</v>
      </c>
    </row>
    <row r="5" spans="1:11" x14ac:dyDescent="0.35">
      <c r="A5" s="12" t="s">
        <v>400</v>
      </c>
      <c r="B5" s="13">
        <v>4</v>
      </c>
      <c r="C5" s="1">
        <v>45960.343009259261</v>
      </c>
      <c r="D5" s="13">
        <v>53.9</v>
      </c>
      <c r="H5" t="str">
        <f t="shared" ref="H5:H68" si="0">A5</f>
        <v>CUST0002</v>
      </c>
      <c r="I5" s="16">
        <f t="shared" ref="I5:I68" ca="1" si="1">$F$3-C5</f>
        <v>69.656990740739275</v>
      </c>
      <c r="J5">
        <f t="shared" ref="J5:J68" si="2">B5</f>
        <v>4</v>
      </c>
      <c r="K5">
        <f t="shared" ref="K5:K68" si="3">D5</f>
        <v>53.9</v>
      </c>
    </row>
    <row r="6" spans="1:11" x14ac:dyDescent="0.35">
      <c r="A6" s="12" t="s">
        <v>655</v>
      </c>
      <c r="B6" s="13">
        <v>4</v>
      </c>
      <c r="C6" s="1">
        <v>45822.343009259261</v>
      </c>
      <c r="D6" s="13">
        <v>75.75</v>
      </c>
      <c r="H6" t="str">
        <f t="shared" si="0"/>
        <v>CUST0003</v>
      </c>
      <c r="I6" s="16">
        <f t="shared" ca="1" si="1"/>
        <v>207.65699074073927</v>
      </c>
      <c r="J6">
        <f t="shared" si="2"/>
        <v>4</v>
      </c>
      <c r="K6">
        <f t="shared" si="3"/>
        <v>75.75</v>
      </c>
    </row>
    <row r="7" spans="1:11" x14ac:dyDescent="0.35">
      <c r="A7" s="12" t="s">
        <v>454</v>
      </c>
      <c r="B7" s="13">
        <v>4</v>
      </c>
      <c r="C7" s="1">
        <v>45910.343009259261</v>
      </c>
      <c r="D7" s="13">
        <v>123.07</v>
      </c>
      <c r="H7" t="str">
        <f t="shared" si="0"/>
        <v>CUST0004</v>
      </c>
      <c r="I7" s="16">
        <f t="shared" ca="1" si="1"/>
        <v>119.65699074073927</v>
      </c>
      <c r="J7">
        <f t="shared" si="2"/>
        <v>4</v>
      </c>
      <c r="K7">
        <f t="shared" si="3"/>
        <v>123.07</v>
      </c>
    </row>
    <row r="8" spans="1:11" x14ac:dyDescent="0.35">
      <c r="A8" s="12" t="s">
        <v>76</v>
      </c>
      <c r="B8" s="13">
        <v>4</v>
      </c>
      <c r="C8" s="1">
        <v>45946.343009259261</v>
      </c>
      <c r="D8" s="13">
        <v>63.34</v>
      </c>
      <c r="H8" t="str">
        <f t="shared" si="0"/>
        <v>CUST0005</v>
      </c>
      <c r="I8" s="16">
        <f t="shared" ca="1" si="1"/>
        <v>83.656990740739275</v>
      </c>
      <c r="J8">
        <f t="shared" si="2"/>
        <v>4</v>
      </c>
      <c r="K8">
        <f t="shared" si="3"/>
        <v>63.34</v>
      </c>
    </row>
    <row r="9" spans="1:11" x14ac:dyDescent="0.35">
      <c r="A9" s="12" t="s">
        <v>380</v>
      </c>
      <c r="B9" s="13">
        <v>5</v>
      </c>
      <c r="C9" s="1">
        <v>45818.343009259261</v>
      </c>
      <c r="D9" s="13">
        <v>104.63000000000001</v>
      </c>
      <c r="H9" t="str">
        <f t="shared" si="0"/>
        <v>CUST0007</v>
      </c>
      <c r="I9" s="16">
        <f t="shared" ca="1" si="1"/>
        <v>211.65699074073927</v>
      </c>
      <c r="J9">
        <f t="shared" si="2"/>
        <v>5</v>
      </c>
      <c r="K9">
        <f t="shared" si="3"/>
        <v>104.63000000000001</v>
      </c>
    </row>
    <row r="10" spans="1:11" x14ac:dyDescent="0.35">
      <c r="A10" s="12" t="s">
        <v>349</v>
      </c>
      <c r="B10" s="13">
        <v>4</v>
      </c>
      <c r="C10" s="1">
        <v>45916.343009259261</v>
      </c>
      <c r="D10" s="13">
        <v>106.62</v>
      </c>
      <c r="H10" t="str">
        <f t="shared" si="0"/>
        <v>CUST0008</v>
      </c>
      <c r="I10" s="16">
        <f t="shared" ca="1" si="1"/>
        <v>113.65699074073927</v>
      </c>
      <c r="J10">
        <f t="shared" si="2"/>
        <v>4</v>
      </c>
      <c r="K10">
        <f t="shared" si="3"/>
        <v>106.62</v>
      </c>
    </row>
    <row r="11" spans="1:11" x14ac:dyDescent="0.35">
      <c r="A11" s="12" t="s">
        <v>439</v>
      </c>
      <c r="B11" s="13">
        <v>6</v>
      </c>
      <c r="C11" s="1">
        <v>45941.343009259261</v>
      </c>
      <c r="D11" s="13">
        <v>139.02000000000001</v>
      </c>
      <c r="H11" t="str">
        <f t="shared" si="0"/>
        <v>CUST0009</v>
      </c>
      <c r="I11" s="16">
        <f t="shared" ca="1" si="1"/>
        <v>88.656990740739275</v>
      </c>
      <c r="J11">
        <f t="shared" si="2"/>
        <v>6</v>
      </c>
      <c r="K11">
        <f t="shared" si="3"/>
        <v>139.02000000000001</v>
      </c>
    </row>
    <row r="12" spans="1:11" x14ac:dyDescent="0.35">
      <c r="A12" s="12" t="s">
        <v>15</v>
      </c>
      <c r="B12" s="13">
        <v>4</v>
      </c>
      <c r="C12" s="1">
        <v>45936.343009259261</v>
      </c>
      <c r="D12" s="13">
        <v>35.17</v>
      </c>
      <c r="H12" t="str">
        <f t="shared" si="0"/>
        <v>CUST0010</v>
      </c>
      <c r="I12" s="16">
        <f t="shared" ca="1" si="1"/>
        <v>93.656990740739275</v>
      </c>
      <c r="J12">
        <f t="shared" si="2"/>
        <v>4</v>
      </c>
      <c r="K12">
        <f t="shared" si="3"/>
        <v>35.17</v>
      </c>
    </row>
    <row r="13" spans="1:11" x14ac:dyDescent="0.35">
      <c r="A13" s="12" t="s">
        <v>192</v>
      </c>
      <c r="B13" s="13">
        <v>6</v>
      </c>
      <c r="C13" s="1">
        <v>45943.343009259261</v>
      </c>
      <c r="D13" s="13">
        <v>128.11000000000001</v>
      </c>
      <c r="H13" t="str">
        <f t="shared" si="0"/>
        <v>CUST0011</v>
      </c>
      <c r="I13" s="16">
        <f t="shared" ca="1" si="1"/>
        <v>86.656990740739275</v>
      </c>
      <c r="J13">
        <f t="shared" si="2"/>
        <v>6</v>
      </c>
      <c r="K13">
        <f t="shared" si="3"/>
        <v>128.11000000000001</v>
      </c>
    </row>
    <row r="14" spans="1:11" x14ac:dyDescent="0.35">
      <c r="A14" s="12" t="s">
        <v>560</v>
      </c>
      <c r="B14" s="13">
        <v>9</v>
      </c>
      <c r="C14" s="1">
        <v>45918.343009259261</v>
      </c>
      <c r="D14" s="13">
        <v>187.09000000000003</v>
      </c>
      <c r="H14" t="str">
        <f t="shared" si="0"/>
        <v>CUST0012</v>
      </c>
      <c r="I14" s="16">
        <f t="shared" ca="1" si="1"/>
        <v>111.65699074073927</v>
      </c>
      <c r="J14">
        <f t="shared" si="2"/>
        <v>9</v>
      </c>
      <c r="K14">
        <f t="shared" si="3"/>
        <v>187.09000000000003</v>
      </c>
    </row>
    <row r="15" spans="1:11" x14ac:dyDescent="0.35">
      <c r="A15" s="12" t="s">
        <v>24</v>
      </c>
      <c r="B15" s="13">
        <v>2</v>
      </c>
      <c r="C15" s="1">
        <v>45952.343009259261</v>
      </c>
      <c r="D15" s="13">
        <v>30.9</v>
      </c>
      <c r="H15" t="str">
        <f t="shared" si="0"/>
        <v>CUST0013</v>
      </c>
      <c r="I15" s="16">
        <f t="shared" ca="1" si="1"/>
        <v>77.656990740739275</v>
      </c>
      <c r="J15">
        <f t="shared" si="2"/>
        <v>2</v>
      </c>
      <c r="K15">
        <f t="shared" si="3"/>
        <v>30.9</v>
      </c>
    </row>
    <row r="16" spans="1:11" x14ac:dyDescent="0.35">
      <c r="A16" s="12" t="s">
        <v>96</v>
      </c>
      <c r="B16" s="13">
        <v>6</v>
      </c>
      <c r="C16" s="1">
        <v>45893.343009259261</v>
      </c>
      <c r="D16" s="13">
        <v>132.01</v>
      </c>
      <c r="H16" t="str">
        <f t="shared" si="0"/>
        <v>CUST0014</v>
      </c>
      <c r="I16" s="16">
        <f t="shared" ca="1" si="1"/>
        <v>136.65699074073927</v>
      </c>
      <c r="J16">
        <f t="shared" si="2"/>
        <v>6</v>
      </c>
      <c r="K16">
        <f t="shared" si="3"/>
        <v>132.01</v>
      </c>
    </row>
    <row r="17" spans="1:11" x14ac:dyDescent="0.35">
      <c r="A17" s="12" t="s">
        <v>128</v>
      </c>
      <c r="B17" s="13">
        <v>5</v>
      </c>
      <c r="C17" s="1">
        <v>45847.343009259261</v>
      </c>
      <c r="D17" s="13">
        <v>58.190000000000005</v>
      </c>
      <c r="H17" t="str">
        <f t="shared" si="0"/>
        <v>CUST0015</v>
      </c>
      <c r="I17" s="16">
        <f t="shared" ca="1" si="1"/>
        <v>182.65699074073927</v>
      </c>
      <c r="J17">
        <f t="shared" si="2"/>
        <v>5</v>
      </c>
      <c r="K17">
        <f t="shared" si="3"/>
        <v>58.190000000000005</v>
      </c>
    </row>
    <row r="18" spans="1:11" x14ac:dyDescent="0.35">
      <c r="A18" s="12" t="s">
        <v>590</v>
      </c>
      <c r="B18" s="13">
        <v>2</v>
      </c>
      <c r="C18" s="1">
        <v>45785.343009259261</v>
      </c>
      <c r="D18" s="13">
        <v>39.26</v>
      </c>
      <c r="H18" t="str">
        <f t="shared" si="0"/>
        <v>CUST0016</v>
      </c>
      <c r="I18" s="16">
        <f t="shared" ca="1" si="1"/>
        <v>244.65699074073927</v>
      </c>
      <c r="J18">
        <f t="shared" si="2"/>
        <v>2</v>
      </c>
      <c r="K18">
        <f t="shared" si="3"/>
        <v>39.26</v>
      </c>
    </row>
    <row r="19" spans="1:11" x14ac:dyDescent="0.35">
      <c r="A19" s="12" t="s">
        <v>264</v>
      </c>
      <c r="B19" s="13">
        <v>6</v>
      </c>
      <c r="C19" s="1">
        <v>45868.343009259261</v>
      </c>
      <c r="D19" s="13">
        <v>90.009999999999991</v>
      </c>
      <c r="H19" t="str">
        <f t="shared" si="0"/>
        <v>CUST0017</v>
      </c>
      <c r="I19" s="16">
        <f t="shared" ca="1" si="1"/>
        <v>161.65699074073927</v>
      </c>
      <c r="J19">
        <f t="shared" si="2"/>
        <v>6</v>
      </c>
      <c r="K19">
        <f t="shared" si="3"/>
        <v>90.009999999999991</v>
      </c>
    </row>
    <row r="20" spans="1:11" x14ac:dyDescent="0.35">
      <c r="A20" s="12" t="s">
        <v>317</v>
      </c>
      <c r="B20" s="13">
        <v>2</v>
      </c>
      <c r="C20" s="1">
        <v>45828.343009259261</v>
      </c>
      <c r="D20" s="13">
        <v>68.16</v>
      </c>
      <c r="H20" t="str">
        <f t="shared" si="0"/>
        <v>CUST0018</v>
      </c>
      <c r="I20" s="16">
        <f t="shared" ca="1" si="1"/>
        <v>201.65699074073927</v>
      </c>
      <c r="J20">
        <f t="shared" si="2"/>
        <v>2</v>
      </c>
      <c r="K20">
        <f t="shared" si="3"/>
        <v>68.16</v>
      </c>
    </row>
    <row r="21" spans="1:11" x14ac:dyDescent="0.35">
      <c r="A21" s="12" t="s">
        <v>315</v>
      </c>
      <c r="B21" s="13">
        <v>3</v>
      </c>
      <c r="C21" s="1">
        <v>45895.343009259261</v>
      </c>
      <c r="D21" s="13">
        <v>50.73</v>
      </c>
      <c r="H21" t="str">
        <f t="shared" si="0"/>
        <v>CUST0019</v>
      </c>
      <c r="I21" s="16">
        <f t="shared" ca="1" si="1"/>
        <v>134.65699074073927</v>
      </c>
      <c r="J21">
        <f t="shared" si="2"/>
        <v>3</v>
      </c>
      <c r="K21">
        <f t="shared" si="3"/>
        <v>50.73</v>
      </c>
    </row>
    <row r="22" spans="1:11" x14ac:dyDescent="0.35">
      <c r="A22" s="12" t="s">
        <v>411</v>
      </c>
      <c r="B22" s="13">
        <v>4</v>
      </c>
      <c r="C22" s="1">
        <v>45868.343009259261</v>
      </c>
      <c r="D22" s="13">
        <v>52.31</v>
      </c>
      <c r="H22" t="str">
        <f t="shared" si="0"/>
        <v>CUST0020</v>
      </c>
      <c r="I22" s="16">
        <f t="shared" ca="1" si="1"/>
        <v>161.65699074073927</v>
      </c>
      <c r="J22">
        <f t="shared" si="2"/>
        <v>4</v>
      </c>
      <c r="K22">
        <f t="shared" si="3"/>
        <v>52.31</v>
      </c>
    </row>
    <row r="23" spans="1:11" x14ac:dyDescent="0.35">
      <c r="A23" s="12" t="s">
        <v>870</v>
      </c>
      <c r="B23" s="13">
        <v>3</v>
      </c>
      <c r="C23" s="1">
        <v>45834.343009259261</v>
      </c>
      <c r="D23" s="13">
        <v>57.05</v>
      </c>
      <c r="H23" t="str">
        <f t="shared" si="0"/>
        <v>CUST0021</v>
      </c>
      <c r="I23" s="16">
        <f t="shared" ca="1" si="1"/>
        <v>195.65699074073927</v>
      </c>
      <c r="J23">
        <f t="shared" si="2"/>
        <v>3</v>
      </c>
      <c r="K23">
        <f t="shared" si="3"/>
        <v>57.05</v>
      </c>
    </row>
    <row r="24" spans="1:11" x14ac:dyDescent="0.35">
      <c r="A24" s="12" t="s">
        <v>828</v>
      </c>
      <c r="B24" s="13">
        <v>3</v>
      </c>
      <c r="C24" s="1">
        <v>45952.343009259261</v>
      </c>
      <c r="D24" s="13">
        <v>50.93</v>
      </c>
      <c r="H24" t="str">
        <f t="shared" si="0"/>
        <v>CUST0022</v>
      </c>
      <c r="I24" s="16">
        <f t="shared" ca="1" si="1"/>
        <v>77.656990740739275</v>
      </c>
      <c r="J24">
        <f t="shared" si="2"/>
        <v>3</v>
      </c>
      <c r="K24">
        <f t="shared" si="3"/>
        <v>50.93</v>
      </c>
    </row>
    <row r="25" spans="1:11" x14ac:dyDescent="0.35">
      <c r="A25" s="12" t="s">
        <v>104</v>
      </c>
      <c r="B25" s="13">
        <v>3</v>
      </c>
      <c r="C25" s="1">
        <v>45869.343009259261</v>
      </c>
      <c r="D25" s="13">
        <v>62.489999999999995</v>
      </c>
      <c r="H25" t="str">
        <f t="shared" si="0"/>
        <v>CUST0023</v>
      </c>
      <c r="I25" s="16">
        <f t="shared" ca="1" si="1"/>
        <v>160.65699074073927</v>
      </c>
      <c r="J25">
        <f t="shared" si="2"/>
        <v>3</v>
      </c>
      <c r="K25">
        <f t="shared" si="3"/>
        <v>62.489999999999995</v>
      </c>
    </row>
    <row r="26" spans="1:11" x14ac:dyDescent="0.35">
      <c r="A26" s="12" t="s">
        <v>902</v>
      </c>
      <c r="B26" s="13">
        <v>2</v>
      </c>
      <c r="C26" s="1">
        <v>45887.343009259261</v>
      </c>
      <c r="D26" s="13">
        <v>16.66</v>
      </c>
      <c r="H26" t="str">
        <f t="shared" si="0"/>
        <v>CUST0024</v>
      </c>
      <c r="I26" s="16">
        <f t="shared" ca="1" si="1"/>
        <v>142.65699074073927</v>
      </c>
      <c r="J26">
        <f t="shared" si="2"/>
        <v>2</v>
      </c>
      <c r="K26">
        <f t="shared" si="3"/>
        <v>16.66</v>
      </c>
    </row>
    <row r="27" spans="1:11" x14ac:dyDescent="0.35">
      <c r="A27" s="12" t="s">
        <v>256</v>
      </c>
      <c r="B27" s="13">
        <v>6</v>
      </c>
      <c r="C27" s="1">
        <v>45920.343009259261</v>
      </c>
      <c r="D27" s="13">
        <v>109.94</v>
      </c>
      <c r="H27" t="str">
        <f t="shared" si="0"/>
        <v>CUST0025</v>
      </c>
      <c r="I27" s="16">
        <f t="shared" ca="1" si="1"/>
        <v>109.65699074073927</v>
      </c>
      <c r="J27">
        <f t="shared" si="2"/>
        <v>6</v>
      </c>
      <c r="K27">
        <f t="shared" si="3"/>
        <v>109.94</v>
      </c>
    </row>
    <row r="28" spans="1:11" x14ac:dyDescent="0.35">
      <c r="A28" s="12" t="s">
        <v>585</v>
      </c>
      <c r="B28" s="13">
        <v>4</v>
      </c>
      <c r="C28" s="1">
        <v>45818.343009259261</v>
      </c>
      <c r="D28" s="13">
        <v>95.759999999999991</v>
      </c>
      <c r="H28" t="str">
        <f t="shared" si="0"/>
        <v>CUST0026</v>
      </c>
      <c r="I28" s="16">
        <f t="shared" ca="1" si="1"/>
        <v>211.65699074073927</v>
      </c>
      <c r="J28">
        <f t="shared" si="2"/>
        <v>4</v>
      </c>
      <c r="K28">
        <f t="shared" si="3"/>
        <v>95.759999999999991</v>
      </c>
    </row>
    <row r="29" spans="1:11" x14ac:dyDescent="0.35">
      <c r="A29" s="12" t="s">
        <v>479</v>
      </c>
      <c r="B29" s="13">
        <v>5</v>
      </c>
      <c r="C29" s="1">
        <v>45831.343009259261</v>
      </c>
      <c r="D29" s="13">
        <v>70.66</v>
      </c>
      <c r="H29" t="str">
        <f t="shared" si="0"/>
        <v>CUST0027</v>
      </c>
      <c r="I29" s="16">
        <f t="shared" ca="1" si="1"/>
        <v>198.65699074073927</v>
      </c>
      <c r="J29">
        <f t="shared" si="2"/>
        <v>5</v>
      </c>
      <c r="K29">
        <f t="shared" si="3"/>
        <v>70.66</v>
      </c>
    </row>
    <row r="30" spans="1:11" x14ac:dyDescent="0.35">
      <c r="A30" s="12" t="s">
        <v>1065</v>
      </c>
      <c r="B30" s="13">
        <v>1</v>
      </c>
      <c r="C30" s="1">
        <v>45846.343009259261</v>
      </c>
      <c r="D30" s="13">
        <v>4.8600000000000003</v>
      </c>
      <c r="H30" t="str">
        <f t="shared" si="0"/>
        <v>CUST0028</v>
      </c>
      <c r="I30" s="16">
        <f t="shared" ca="1" si="1"/>
        <v>183.65699074073927</v>
      </c>
      <c r="J30">
        <f t="shared" si="2"/>
        <v>1</v>
      </c>
      <c r="K30">
        <f t="shared" si="3"/>
        <v>4.8600000000000003</v>
      </c>
    </row>
    <row r="31" spans="1:11" x14ac:dyDescent="0.35">
      <c r="A31" s="12" t="s">
        <v>225</v>
      </c>
      <c r="B31" s="13">
        <v>6</v>
      </c>
      <c r="C31" s="1">
        <v>45899.343009259261</v>
      </c>
      <c r="D31" s="13">
        <v>130.92000000000002</v>
      </c>
      <c r="H31" t="str">
        <f t="shared" si="0"/>
        <v>CUST0029</v>
      </c>
      <c r="I31" s="16">
        <f t="shared" ca="1" si="1"/>
        <v>130.65699074073927</v>
      </c>
      <c r="J31">
        <f t="shared" si="2"/>
        <v>6</v>
      </c>
      <c r="K31">
        <f t="shared" si="3"/>
        <v>130.92000000000002</v>
      </c>
    </row>
    <row r="32" spans="1:11" x14ac:dyDescent="0.35">
      <c r="A32" s="12" t="s">
        <v>784</v>
      </c>
      <c r="B32" s="13">
        <v>1</v>
      </c>
      <c r="C32" s="1">
        <v>45688.343009259261</v>
      </c>
      <c r="D32" s="13">
        <v>9.42</v>
      </c>
      <c r="H32" t="str">
        <f t="shared" si="0"/>
        <v>CUST0031</v>
      </c>
      <c r="I32" s="16">
        <f t="shared" ca="1" si="1"/>
        <v>341.65699074073927</v>
      </c>
      <c r="J32">
        <f t="shared" si="2"/>
        <v>1</v>
      </c>
      <c r="K32">
        <f t="shared" si="3"/>
        <v>9.42</v>
      </c>
    </row>
    <row r="33" spans="1:11" x14ac:dyDescent="0.35">
      <c r="A33" s="12" t="s">
        <v>307</v>
      </c>
      <c r="B33" s="13">
        <v>2</v>
      </c>
      <c r="C33" s="1">
        <v>45826.343009259261</v>
      </c>
      <c r="D33" s="13">
        <v>26.84</v>
      </c>
      <c r="H33" t="str">
        <f t="shared" si="0"/>
        <v>CUST0032</v>
      </c>
      <c r="I33" s="16">
        <f t="shared" ca="1" si="1"/>
        <v>203.65699074073927</v>
      </c>
      <c r="J33">
        <f t="shared" si="2"/>
        <v>2</v>
      </c>
      <c r="K33">
        <f t="shared" si="3"/>
        <v>26.84</v>
      </c>
    </row>
    <row r="34" spans="1:11" x14ac:dyDescent="0.35">
      <c r="A34" s="12" t="s">
        <v>843</v>
      </c>
      <c r="B34" s="13">
        <v>1</v>
      </c>
      <c r="C34" s="1">
        <v>45934.343009259261</v>
      </c>
      <c r="D34" s="13">
        <v>5.71</v>
      </c>
      <c r="H34" t="str">
        <f t="shared" si="0"/>
        <v>CUST0033</v>
      </c>
      <c r="I34" s="16">
        <f t="shared" ca="1" si="1"/>
        <v>95.656990740739275</v>
      </c>
      <c r="J34">
        <f t="shared" si="2"/>
        <v>1</v>
      </c>
      <c r="K34">
        <f t="shared" si="3"/>
        <v>5.71</v>
      </c>
    </row>
    <row r="35" spans="1:11" x14ac:dyDescent="0.35">
      <c r="A35" s="12" t="s">
        <v>471</v>
      </c>
      <c r="B35" s="13">
        <v>2</v>
      </c>
      <c r="C35" s="1">
        <v>45747.343009259261</v>
      </c>
      <c r="D35" s="13">
        <v>15.89</v>
      </c>
      <c r="H35" t="str">
        <f t="shared" si="0"/>
        <v>CUST0034</v>
      </c>
      <c r="I35" s="16">
        <f t="shared" ca="1" si="1"/>
        <v>282.65699074073927</v>
      </c>
      <c r="J35">
        <f t="shared" si="2"/>
        <v>2</v>
      </c>
      <c r="K35">
        <f t="shared" si="3"/>
        <v>15.89</v>
      </c>
    </row>
    <row r="36" spans="1:11" x14ac:dyDescent="0.35">
      <c r="A36" s="12" t="s">
        <v>54</v>
      </c>
      <c r="B36" s="13">
        <v>3</v>
      </c>
      <c r="C36" s="1">
        <v>45787.343009259261</v>
      </c>
      <c r="D36" s="13">
        <v>58.38</v>
      </c>
      <c r="H36" t="str">
        <f t="shared" si="0"/>
        <v>CUST0035</v>
      </c>
      <c r="I36" s="16">
        <f t="shared" ca="1" si="1"/>
        <v>242.65699074073927</v>
      </c>
      <c r="J36">
        <f t="shared" si="2"/>
        <v>3</v>
      </c>
      <c r="K36">
        <f t="shared" si="3"/>
        <v>58.38</v>
      </c>
    </row>
    <row r="37" spans="1:11" x14ac:dyDescent="0.35">
      <c r="A37" s="12" t="s">
        <v>393</v>
      </c>
      <c r="B37" s="13">
        <v>3</v>
      </c>
      <c r="C37" s="1">
        <v>45945.343009259261</v>
      </c>
      <c r="D37" s="13">
        <v>72.06</v>
      </c>
      <c r="H37" t="str">
        <f t="shared" si="0"/>
        <v>CUST0036</v>
      </c>
      <c r="I37" s="16">
        <f t="shared" ca="1" si="1"/>
        <v>84.656990740739275</v>
      </c>
      <c r="J37">
        <f t="shared" si="2"/>
        <v>3</v>
      </c>
      <c r="K37">
        <f t="shared" si="3"/>
        <v>72.06</v>
      </c>
    </row>
    <row r="38" spans="1:11" x14ac:dyDescent="0.35">
      <c r="A38" s="12" t="s">
        <v>742</v>
      </c>
      <c r="B38" s="13">
        <v>3</v>
      </c>
      <c r="C38" s="1">
        <v>45884.343009259261</v>
      </c>
      <c r="D38" s="13">
        <v>40.36</v>
      </c>
      <c r="H38" t="str">
        <f t="shared" si="0"/>
        <v>CUST0037</v>
      </c>
      <c r="I38" s="16">
        <f t="shared" ca="1" si="1"/>
        <v>145.65699074073927</v>
      </c>
      <c r="J38">
        <f t="shared" si="2"/>
        <v>3</v>
      </c>
      <c r="K38">
        <f t="shared" si="3"/>
        <v>40.36</v>
      </c>
    </row>
    <row r="39" spans="1:11" x14ac:dyDescent="0.35">
      <c r="A39" s="12" t="s">
        <v>39</v>
      </c>
      <c r="B39" s="13">
        <v>4</v>
      </c>
      <c r="C39" s="1">
        <v>45905.343009259261</v>
      </c>
      <c r="D39" s="13">
        <v>44.35</v>
      </c>
      <c r="H39" t="str">
        <f t="shared" si="0"/>
        <v>CUST0038</v>
      </c>
      <c r="I39" s="16">
        <f t="shared" ca="1" si="1"/>
        <v>124.65699074073927</v>
      </c>
      <c r="J39">
        <f t="shared" si="2"/>
        <v>4</v>
      </c>
      <c r="K39">
        <f t="shared" si="3"/>
        <v>44.35</v>
      </c>
    </row>
    <row r="40" spans="1:11" x14ac:dyDescent="0.35">
      <c r="A40" s="12" t="s">
        <v>118</v>
      </c>
      <c r="B40" s="13">
        <v>8</v>
      </c>
      <c r="C40" s="1">
        <v>45937.343009259261</v>
      </c>
      <c r="D40" s="13">
        <v>167.44</v>
      </c>
      <c r="H40" t="str">
        <f t="shared" si="0"/>
        <v>CUST0039</v>
      </c>
      <c r="I40" s="16">
        <f t="shared" ca="1" si="1"/>
        <v>92.656990740739275</v>
      </c>
      <c r="J40">
        <f t="shared" si="2"/>
        <v>8</v>
      </c>
      <c r="K40">
        <f t="shared" si="3"/>
        <v>167.44</v>
      </c>
    </row>
    <row r="41" spans="1:11" x14ac:dyDescent="0.35">
      <c r="A41" s="12" t="s">
        <v>441</v>
      </c>
      <c r="B41" s="13">
        <v>6</v>
      </c>
      <c r="C41" s="1">
        <v>45931.343009259261</v>
      </c>
      <c r="D41" s="13">
        <v>101.46000000000001</v>
      </c>
      <c r="H41" t="str">
        <f t="shared" si="0"/>
        <v>CUST0040</v>
      </c>
      <c r="I41" s="16">
        <f t="shared" ca="1" si="1"/>
        <v>98.656990740739275</v>
      </c>
      <c r="J41">
        <f t="shared" si="2"/>
        <v>6</v>
      </c>
      <c r="K41">
        <f t="shared" si="3"/>
        <v>101.46000000000001</v>
      </c>
    </row>
    <row r="42" spans="1:11" x14ac:dyDescent="0.35">
      <c r="A42" s="12" t="s">
        <v>469</v>
      </c>
      <c r="B42" s="13">
        <v>4</v>
      </c>
      <c r="C42" s="1">
        <v>45768.343009259261</v>
      </c>
      <c r="D42" s="13">
        <v>63.980000000000004</v>
      </c>
      <c r="H42" t="str">
        <f t="shared" si="0"/>
        <v>CUST0041</v>
      </c>
      <c r="I42" s="16">
        <f t="shared" ca="1" si="1"/>
        <v>261.65699074073927</v>
      </c>
      <c r="J42">
        <f t="shared" si="2"/>
        <v>4</v>
      </c>
      <c r="K42">
        <f t="shared" si="3"/>
        <v>63.980000000000004</v>
      </c>
    </row>
    <row r="43" spans="1:11" x14ac:dyDescent="0.35">
      <c r="A43" s="12" t="s">
        <v>88</v>
      </c>
      <c r="B43" s="13">
        <v>4</v>
      </c>
      <c r="C43" s="1">
        <v>45803.343009259261</v>
      </c>
      <c r="D43" s="13">
        <v>106.78</v>
      </c>
      <c r="H43" t="str">
        <f t="shared" si="0"/>
        <v>CUST0042</v>
      </c>
      <c r="I43" s="16">
        <f t="shared" ca="1" si="1"/>
        <v>226.65699074073927</v>
      </c>
      <c r="J43">
        <f t="shared" si="2"/>
        <v>4</v>
      </c>
      <c r="K43">
        <f t="shared" si="3"/>
        <v>106.78</v>
      </c>
    </row>
    <row r="44" spans="1:11" x14ac:dyDescent="0.35">
      <c r="A44" s="12" t="s">
        <v>1210</v>
      </c>
      <c r="B44" s="13">
        <v>1</v>
      </c>
      <c r="C44" s="1">
        <v>45740.343009259261</v>
      </c>
      <c r="D44" s="13">
        <v>12.17</v>
      </c>
      <c r="H44" t="str">
        <f t="shared" si="0"/>
        <v>CUST0043</v>
      </c>
      <c r="I44" s="16">
        <f t="shared" ca="1" si="1"/>
        <v>289.65699074073927</v>
      </c>
      <c r="J44">
        <f t="shared" si="2"/>
        <v>1</v>
      </c>
      <c r="K44">
        <f t="shared" si="3"/>
        <v>12.17</v>
      </c>
    </row>
    <row r="45" spans="1:11" x14ac:dyDescent="0.35">
      <c r="A45" s="12" t="s">
        <v>565</v>
      </c>
      <c r="B45" s="13">
        <v>2</v>
      </c>
      <c r="C45" s="1">
        <v>45848.343009259261</v>
      </c>
      <c r="D45" s="13">
        <v>10.379999999999999</v>
      </c>
      <c r="H45" t="str">
        <f t="shared" si="0"/>
        <v>CUST0044</v>
      </c>
      <c r="I45" s="16">
        <f t="shared" ca="1" si="1"/>
        <v>181.65699074073927</v>
      </c>
      <c r="J45">
        <f t="shared" si="2"/>
        <v>2</v>
      </c>
      <c r="K45">
        <f t="shared" si="3"/>
        <v>10.379999999999999</v>
      </c>
    </row>
    <row r="46" spans="1:11" x14ac:dyDescent="0.35">
      <c r="A46" s="12" t="s">
        <v>770</v>
      </c>
      <c r="B46" s="13">
        <v>2</v>
      </c>
      <c r="C46" s="1">
        <v>45880.343009259261</v>
      </c>
      <c r="D46" s="13">
        <v>23.240000000000002</v>
      </c>
      <c r="H46" t="str">
        <f t="shared" si="0"/>
        <v>CUST0045</v>
      </c>
      <c r="I46" s="16">
        <f t="shared" ca="1" si="1"/>
        <v>149.65699074073927</v>
      </c>
      <c r="J46">
        <f t="shared" si="2"/>
        <v>2</v>
      </c>
      <c r="K46">
        <f t="shared" si="3"/>
        <v>23.240000000000002</v>
      </c>
    </row>
    <row r="47" spans="1:11" x14ac:dyDescent="0.35">
      <c r="A47" s="12" t="s">
        <v>495</v>
      </c>
      <c r="B47" s="13">
        <v>4</v>
      </c>
      <c r="C47" s="1">
        <v>45787.343009259261</v>
      </c>
      <c r="D47" s="13">
        <v>65.58</v>
      </c>
      <c r="H47" t="str">
        <f t="shared" si="0"/>
        <v>CUST0046</v>
      </c>
      <c r="I47" s="16">
        <f t="shared" ca="1" si="1"/>
        <v>242.65699074073927</v>
      </c>
      <c r="J47">
        <f t="shared" si="2"/>
        <v>4</v>
      </c>
      <c r="K47">
        <f t="shared" si="3"/>
        <v>65.58</v>
      </c>
    </row>
    <row r="48" spans="1:11" x14ac:dyDescent="0.35">
      <c r="A48" s="12" t="s">
        <v>171</v>
      </c>
      <c r="B48" s="13">
        <v>4</v>
      </c>
      <c r="C48" s="1">
        <v>45842.343009259261</v>
      </c>
      <c r="D48" s="13">
        <v>90.01</v>
      </c>
      <c r="H48" t="str">
        <f t="shared" si="0"/>
        <v>CUST0047</v>
      </c>
      <c r="I48" s="16">
        <f t="shared" ca="1" si="1"/>
        <v>187.65699074073927</v>
      </c>
      <c r="J48">
        <f t="shared" si="2"/>
        <v>4</v>
      </c>
      <c r="K48">
        <f t="shared" si="3"/>
        <v>90.01</v>
      </c>
    </row>
    <row r="49" spans="1:11" x14ac:dyDescent="0.35">
      <c r="A49" s="12" t="s">
        <v>289</v>
      </c>
      <c r="B49" s="13">
        <v>4</v>
      </c>
      <c r="C49" s="1">
        <v>45765.343009259261</v>
      </c>
      <c r="D49" s="13">
        <v>32.14</v>
      </c>
      <c r="H49" t="str">
        <f t="shared" si="0"/>
        <v>CUST0049</v>
      </c>
      <c r="I49" s="16">
        <f t="shared" ca="1" si="1"/>
        <v>264.65699074073927</v>
      </c>
      <c r="J49">
        <f t="shared" si="2"/>
        <v>4</v>
      </c>
      <c r="K49">
        <f t="shared" si="3"/>
        <v>32.14</v>
      </c>
    </row>
    <row r="50" spans="1:11" x14ac:dyDescent="0.35">
      <c r="A50" s="12" t="s">
        <v>898</v>
      </c>
      <c r="B50" s="13">
        <v>3</v>
      </c>
      <c r="C50" s="1">
        <v>45812.343009259261</v>
      </c>
      <c r="D50" s="13">
        <v>32.49</v>
      </c>
      <c r="H50" t="str">
        <f t="shared" si="0"/>
        <v>CUST0050</v>
      </c>
      <c r="I50" s="16">
        <f t="shared" ca="1" si="1"/>
        <v>217.65699074073927</v>
      </c>
      <c r="J50">
        <f t="shared" si="2"/>
        <v>3</v>
      </c>
      <c r="K50">
        <f t="shared" si="3"/>
        <v>32.49</v>
      </c>
    </row>
    <row r="51" spans="1:11" x14ac:dyDescent="0.35">
      <c r="A51" s="12" t="s">
        <v>223</v>
      </c>
      <c r="B51" s="13">
        <v>3</v>
      </c>
      <c r="C51" s="1">
        <v>45888.343009259261</v>
      </c>
      <c r="D51" s="13">
        <v>86.679999999999993</v>
      </c>
      <c r="H51" t="str">
        <f t="shared" si="0"/>
        <v>CUST0051</v>
      </c>
      <c r="I51" s="16">
        <f t="shared" ca="1" si="1"/>
        <v>141.65699074073927</v>
      </c>
      <c r="J51">
        <f t="shared" si="2"/>
        <v>3</v>
      </c>
      <c r="K51">
        <f t="shared" si="3"/>
        <v>86.679999999999993</v>
      </c>
    </row>
    <row r="52" spans="1:11" x14ac:dyDescent="0.35">
      <c r="A52" s="12" t="s">
        <v>677</v>
      </c>
      <c r="B52" s="13">
        <v>2</v>
      </c>
      <c r="C52" s="1">
        <v>45913.343009259261</v>
      </c>
      <c r="D52" s="13">
        <v>52.57</v>
      </c>
      <c r="H52" t="str">
        <f t="shared" si="0"/>
        <v>CUST0052</v>
      </c>
      <c r="I52" s="16">
        <f t="shared" ca="1" si="1"/>
        <v>116.65699074073927</v>
      </c>
      <c r="J52">
        <f t="shared" si="2"/>
        <v>2</v>
      </c>
      <c r="K52">
        <f t="shared" si="3"/>
        <v>52.57</v>
      </c>
    </row>
    <row r="53" spans="1:11" x14ac:dyDescent="0.35">
      <c r="A53" s="12" t="s">
        <v>420</v>
      </c>
      <c r="B53" s="13">
        <v>2</v>
      </c>
      <c r="C53" s="1">
        <v>45941.343009259261</v>
      </c>
      <c r="D53" s="13">
        <v>13.86</v>
      </c>
      <c r="H53" t="str">
        <f t="shared" si="0"/>
        <v>CUST0053</v>
      </c>
      <c r="I53" s="16">
        <f t="shared" ca="1" si="1"/>
        <v>88.656990740739275</v>
      </c>
      <c r="J53">
        <f t="shared" si="2"/>
        <v>2</v>
      </c>
      <c r="K53">
        <f t="shared" si="3"/>
        <v>13.86</v>
      </c>
    </row>
    <row r="54" spans="1:11" x14ac:dyDescent="0.35">
      <c r="A54" s="12" t="s">
        <v>355</v>
      </c>
      <c r="B54" s="13">
        <v>2</v>
      </c>
      <c r="C54" s="1">
        <v>45867.343009259261</v>
      </c>
      <c r="D54" s="13">
        <v>14.21</v>
      </c>
      <c r="H54" t="str">
        <f t="shared" si="0"/>
        <v>CUST0054</v>
      </c>
      <c r="I54" s="16">
        <f t="shared" ca="1" si="1"/>
        <v>162.65699074073927</v>
      </c>
      <c r="J54">
        <f t="shared" si="2"/>
        <v>2</v>
      </c>
      <c r="K54">
        <f t="shared" si="3"/>
        <v>14.21</v>
      </c>
    </row>
    <row r="55" spans="1:11" x14ac:dyDescent="0.35">
      <c r="A55" s="12" t="s">
        <v>241</v>
      </c>
      <c r="B55" s="13">
        <v>5</v>
      </c>
      <c r="C55" s="1">
        <v>45851.343009259261</v>
      </c>
      <c r="D55" s="13">
        <v>81.3</v>
      </c>
      <c r="H55" t="str">
        <f t="shared" si="0"/>
        <v>CUST0055</v>
      </c>
      <c r="I55" s="16">
        <f t="shared" ca="1" si="1"/>
        <v>178.65699074073927</v>
      </c>
      <c r="J55">
        <f t="shared" si="2"/>
        <v>5</v>
      </c>
      <c r="K55">
        <f t="shared" si="3"/>
        <v>81.3</v>
      </c>
    </row>
    <row r="56" spans="1:11" x14ac:dyDescent="0.35">
      <c r="A56" s="12" t="s">
        <v>754</v>
      </c>
      <c r="B56" s="13">
        <v>1</v>
      </c>
      <c r="C56" s="1">
        <v>45935.343009259261</v>
      </c>
      <c r="D56" s="13">
        <v>10.48</v>
      </c>
      <c r="H56" t="str">
        <f t="shared" si="0"/>
        <v>CUST0056</v>
      </c>
      <c r="I56" s="16">
        <f t="shared" ca="1" si="1"/>
        <v>94.656990740739275</v>
      </c>
      <c r="J56">
        <f t="shared" si="2"/>
        <v>1</v>
      </c>
      <c r="K56">
        <f t="shared" si="3"/>
        <v>10.48</v>
      </c>
    </row>
    <row r="57" spans="1:11" x14ac:dyDescent="0.35">
      <c r="A57" s="12" t="s">
        <v>568</v>
      </c>
      <c r="B57" s="13">
        <v>1</v>
      </c>
      <c r="C57" s="1">
        <v>45851.343009259261</v>
      </c>
      <c r="D57" s="13">
        <v>24.63</v>
      </c>
      <c r="H57" t="str">
        <f t="shared" si="0"/>
        <v>CUST0057</v>
      </c>
      <c r="I57" s="16">
        <f t="shared" ca="1" si="1"/>
        <v>178.65699074073927</v>
      </c>
      <c r="J57">
        <f t="shared" si="2"/>
        <v>1</v>
      </c>
      <c r="K57">
        <f t="shared" si="3"/>
        <v>24.63</v>
      </c>
    </row>
    <row r="58" spans="1:11" x14ac:dyDescent="0.35">
      <c r="A58" s="12" t="s">
        <v>848</v>
      </c>
      <c r="B58" s="13">
        <v>2</v>
      </c>
      <c r="C58" s="1">
        <v>45825.343009259261</v>
      </c>
      <c r="D58" s="13">
        <v>83.66</v>
      </c>
      <c r="H58" t="str">
        <f t="shared" si="0"/>
        <v>CUST0058</v>
      </c>
      <c r="I58" s="16">
        <f t="shared" ca="1" si="1"/>
        <v>204.65699074073927</v>
      </c>
      <c r="J58">
        <f t="shared" si="2"/>
        <v>2</v>
      </c>
      <c r="K58">
        <f t="shared" si="3"/>
        <v>83.66</v>
      </c>
    </row>
    <row r="59" spans="1:11" x14ac:dyDescent="0.35">
      <c r="A59" s="12" t="s">
        <v>429</v>
      </c>
      <c r="B59" s="13">
        <v>7</v>
      </c>
      <c r="C59" s="1">
        <v>45937.343009259261</v>
      </c>
      <c r="D59" s="13">
        <v>99.24</v>
      </c>
      <c r="H59" t="str">
        <f t="shared" si="0"/>
        <v>CUST0059</v>
      </c>
      <c r="I59" s="16">
        <f t="shared" ca="1" si="1"/>
        <v>92.656990740739275</v>
      </c>
      <c r="J59">
        <f t="shared" si="2"/>
        <v>7</v>
      </c>
      <c r="K59">
        <f t="shared" si="3"/>
        <v>99.24</v>
      </c>
    </row>
    <row r="60" spans="1:11" x14ac:dyDescent="0.35">
      <c r="A60" s="12" t="s">
        <v>60</v>
      </c>
      <c r="B60" s="13">
        <v>4</v>
      </c>
      <c r="C60" s="1">
        <v>45934.343009259261</v>
      </c>
      <c r="D60" s="13">
        <v>88.919999999999987</v>
      </c>
      <c r="H60" t="str">
        <f t="shared" si="0"/>
        <v>CUST0060</v>
      </c>
      <c r="I60" s="16">
        <f t="shared" ca="1" si="1"/>
        <v>95.656990740739275</v>
      </c>
      <c r="J60">
        <f t="shared" si="2"/>
        <v>4</v>
      </c>
      <c r="K60">
        <f t="shared" si="3"/>
        <v>88.919999999999987</v>
      </c>
    </row>
    <row r="61" spans="1:11" x14ac:dyDescent="0.35">
      <c r="A61" s="12" t="s">
        <v>546</v>
      </c>
      <c r="B61" s="13">
        <v>3</v>
      </c>
      <c r="C61" s="1">
        <v>45749.343009259261</v>
      </c>
      <c r="D61" s="13">
        <v>46.61</v>
      </c>
      <c r="H61" t="str">
        <f t="shared" si="0"/>
        <v>CUST0061</v>
      </c>
      <c r="I61" s="16">
        <f t="shared" ca="1" si="1"/>
        <v>280.65699074073927</v>
      </c>
      <c r="J61">
        <f t="shared" si="2"/>
        <v>3</v>
      </c>
      <c r="K61">
        <f t="shared" si="3"/>
        <v>46.61</v>
      </c>
    </row>
    <row r="62" spans="1:11" x14ac:dyDescent="0.35">
      <c r="A62" s="12" t="s">
        <v>80</v>
      </c>
      <c r="B62" s="13">
        <v>3</v>
      </c>
      <c r="C62" s="1">
        <v>45785.343009259261</v>
      </c>
      <c r="D62" s="13">
        <v>51.039999999999992</v>
      </c>
      <c r="H62" t="str">
        <f t="shared" si="0"/>
        <v>CUST0062</v>
      </c>
      <c r="I62" s="16">
        <f t="shared" ca="1" si="1"/>
        <v>244.65699074073927</v>
      </c>
      <c r="J62">
        <f t="shared" si="2"/>
        <v>3</v>
      </c>
      <c r="K62">
        <f t="shared" si="3"/>
        <v>51.039999999999992</v>
      </c>
    </row>
    <row r="63" spans="1:11" x14ac:dyDescent="0.35">
      <c r="A63" s="12" t="s">
        <v>106</v>
      </c>
      <c r="B63" s="13">
        <v>6</v>
      </c>
      <c r="C63" s="1">
        <v>45838.343009259261</v>
      </c>
      <c r="D63" s="13">
        <v>96.279999999999987</v>
      </c>
      <c r="H63" t="str">
        <f t="shared" si="0"/>
        <v>CUST0063</v>
      </c>
      <c r="I63" s="16">
        <f t="shared" ca="1" si="1"/>
        <v>191.65699074073927</v>
      </c>
      <c r="J63">
        <f t="shared" si="2"/>
        <v>6</v>
      </c>
      <c r="K63">
        <f t="shared" si="3"/>
        <v>96.279999999999987</v>
      </c>
    </row>
    <row r="64" spans="1:11" x14ac:dyDescent="0.35">
      <c r="A64" s="12" t="s">
        <v>497</v>
      </c>
      <c r="B64" s="13">
        <v>3</v>
      </c>
      <c r="C64" s="1">
        <v>45942.343009259261</v>
      </c>
      <c r="D64" s="13">
        <v>49.8</v>
      </c>
      <c r="H64" t="str">
        <f t="shared" si="0"/>
        <v>CUST0064</v>
      </c>
      <c r="I64" s="16">
        <f t="shared" ca="1" si="1"/>
        <v>87.656990740739275</v>
      </c>
      <c r="J64">
        <f t="shared" si="2"/>
        <v>3</v>
      </c>
      <c r="K64">
        <f t="shared" si="3"/>
        <v>49.8</v>
      </c>
    </row>
    <row r="65" spans="1:11" x14ac:dyDescent="0.35">
      <c r="A65" s="12" t="s">
        <v>652</v>
      </c>
      <c r="B65" s="13">
        <v>2</v>
      </c>
      <c r="C65" s="1">
        <v>45960.343009259261</v>
      </c>
      <c r="D65" s="13">
        <v>23.78</v>
      </c>
      <c r="H65" t="str">
        <f t="shared" si="0"/>
        <v>CUST0065</v>
      </c>
      <c r="I65" s="16">
        <f t="shared" ca="1" si="1"/>
        <v>69.656990740739275</v>
      </c>
      <c r="J65">
        <f t="shared" si="2"/>
        <v>2</v>
      </c>
      <c r="K65">
        <f t="shared" si="3"/>
        <v>23.78</v>
      </c>
    </row>
    <row r="66" spans="1:11" x14ac:dyDescent="0.35">
      <c r="A66" s="12" t="s">
        <v>1030</v>
      </c>
      <c r="B66" s="13">
        <v>2</v>
      </c>
      <c r="C66" s="1">
        <v>45953.343009259261</v>
      </c>
      <c r="D66" s="13">
        <v>56.19</v>
      </c>
      <c r="H66" t="str">
        <f t="shared" si="0"/>
        <v>CUST0066</v>
      </c>
      <c r="I66" s="16">
        <f t="shared" ca="1" si="1"/>
        <v>76.656990740739275</v>
      </c>
      <c r="J66">
        <f t="shared" si="2"/>
        <v>2</v>
      </c>
      <c r="K66">
        <f t="shared" si="3"/>
        <v>56.19</v>
      </c>
    </row>
    <row r="67" spans="1:11" x14ac:dyDescent="0.35">
      <c r="A67" s="12" t="s">
        <v>124</v>
      </c>
      <c r="B67" s="13">
        <v>2</v>
      </c>
      <c r="C67" s="1">
        <v>45708.343009259261</v>
      </c>
      <c r="D67" s="13">
        <v>50.21</v>
      </c>
      <c r="H67" t="str">
        <f t="shared" si="0"/>
        <v>CUST0067</v>
      </c>
      <c r="I67" s="16">
        <f t="shared" ca="1" si="1"/>
        <v>321.65699074073927</v>
      </c>
      <c r="J67">
        <f t="shared" si="2"/>
        <v>2</v>
      </c>
      <c r="K67">
        <f t="shared" si="3"/>
        <v>50.21</v>
      </c>
    </row>
    <row r="68" spans="1:11" x14ac:dyDescent="0.35">
      <c r="A68" s="12" t="s">
        <v>719</v>
      </c>
      <c r="B68" s="13">
        <v>2</v>
      </c>
      <c r="C68" s="1">
        <v>45813.343009259261</v>
      </c>
      <c r="D68" s="13">
        <v>40.29</v>
      </c>
      <c r="H68" t="str">
        <f t="shared" si="0"/>
        <v>CUST0068</v>
      </c>
      <c r="I68" s="16">
        <f t="shared" ca="1" si="1"/>
        <v>216.65699074073927</v>
      </c>
      <c r="J68">
        <f t="shared" si="2"/>
        <v>2</v>
      </c>
      <c r="K68">
        <f t="shared" si="3"/>
        <v>40.29</v>
      </c>
    </row>
    <row r="69" spans="1:11" x14ac:dyDescent="0.35">
      <c r="A69" s="12" t="s">
        <v>45</v>
      </c>
      <c r="B69" s="13">
        <v>5</v>
      </c>
      <c r="C69" s="1">
        <v>45904.343009259261</v>
      </c>
      <c r="D69" s="13">
        <v>56.240000000000009</v>
      </c>
      <c r="H69" t="str">
        <f t="shared" ref="H69:H132" si="4">A69</f>
        <v>CUST0069</v>
      </c>
      <c r="I69" s="16">
        <f t="shared" ref="I69:I132" ca="1" si="5">$F$3-C69</f>
        <v>125.65699074073927</v>
      </c>
      <c r="J69">
        <f t="shared" ref="J69:J132" si="6">B69</f>
        <v>5</v>
      </c>
      <c r="K69">
        <f t="shared" ref="K69:K132" si="7">D69</f>
        <v>56.240000000000009</v>
      </c>
    </row>
    <row r="70" spans="1:11" x14ac:dyDescent="0.35">
      <c r="A70" s="12" t="s">
        <v>1246</v>
      </c>
      <c r="B70" s="13">
        <v>1</v>
      </c>
      <c r="C70" s="1">
        <v>45945.343009259261</v>
      </c>
      <c r="D70" s="13">
        <v>13.79</v>
      </c>
      <c r="H70" t="str">
        <f t="shared" si="4"/>
        <v>CUST0071</v>
      </c>
      <c r="I70" s="16">
        <f t="shared" ca="1" si="5"/>
        <v>84.656990740739275</v>
      </c>
      <c r="J70">
        <f t="shared" si="6"/>
        <v>1</v>
      </c>
      <c r="K70">
        <f t="shared" si="7"/>
        <v>13.79</v>
      </c>
    </row>
    <row r="71" spans="1:11" x14ac:dyDescent="0.35">
      <c r="A71" s="12" t="s">
        <v>682</v>
      </c>
      <c r="B71" s="13">
        <v>5</v>
      </c>
      <c r="C71" s="1">
        <v>45768.343009259261</v>
      </c>
      <c r="D71" s="13">
        <v>41.33</v>
      </c>
      <c r="H71" t="str">
        <f t="shared" si="4"/>
        <v>CUST0072</v>
      </c>
      <c r="I71" s="16">
        <f t="shared" ca="1" si="5"/>
        <v>261.65699074073927</v>
      </c>
      <c r="J71">
        <f t="shared" si="6"/>
        <v>5</v>
      </c>
      <c r="K71">
        <f t="shared" si="7"/>
        <v>41.33</v>
      </c>
    </row>
    <row r="72" spans="1:11" x14ac:dyDescent="0.35">
      <c r="A72" s="12" t="s">
        <v>537</v>
      </c>
      <c r="B72" s="13">
        <v>5</v>
      </c>
      <c r="C72" s="1">
        <v>45787.343009259261</v>
      </c>
      <c r="D72" s="13">
        <v>142.38</v>
      </c>
      <c r="H72" t="str">
        <f t="shared" si="4"/>
        <v>CUST0073</v>
      </c>
      <c r="I72" s="16">
        <f t="shared" ca="1" si="5"/>
        <v>242.65699074073927</v>
      </c>
      <c r="J72">
        <f t="shared" si="6"/>
        <v>5</v>
      </c>
      <c r="K72">
        <f t="shared" si="7"/>
        <v>142.38</v>
      </c>
    </row>
    <row r="73" spans="1:11" x14ac:dyDescent="0.35">
      <c r="A73" s="12" t="s">
        <v>811</v>
      </c>
      <c r="B73" s="13">
        <v>2</v>
      </c>
      <c r="C73" s="1">
        <v>45785.343009259261</v>
      </c>
      <c r="D73" s="13">
        <v>20.810000000000002</v>
      </c>
      <c r="H73" t="str">
        <f t="shared" si="4"/>
        <v>CUST0074</v>
      </c>
      <c r="I73" s="16">
        <f t="shared" ca="1" si="5"/>
        <v>244.65699074073927</v>
      </c>
      <c r="J73">
        <f t="shared" si="6"/>
        <v>2</v>
      </c>
      <c r="K73">
        <f t="shared" si="7"/>
        <v>20.810000000000002</v>
      </c>
    </row>
    <row r="74" spans="1:11" x14ac:dyDescent="0.35">
      <c r="A74" s="12" t="s">
        <v>260</v>
      </c>
      <c r="B74" s="13">
        <v>3</v>
      </c>
      <c r="C74" s="1">
        <v>45826.343009259261</v>
      </c>
      <c r="D74" s="13">
        <v>60.87</v>
      </c>
      <c r="H74" t="str">
        <f t="shared" si="4"/>
        <v>CUST0075</v>
      </c>
      <c r="I74" s="16">
        <f t="shared" ca="1" si="5"/>
        <v>203.65699074073927</v>
      </c>
      <c r="J74">
        <f t="shared" si="6"/>
        <v>3</v>
      </c>
      <c r="K74">
        <f t="shared" si="7"/>
        <v>60.87</v>
      </c>
    </row>
    <row r="75" spans="1:11" x14ac:dyDescent="0.35">
      <c r="A75" s="12" t="s">
        <v>52</v>
      </c>
      <c r="B75" s="13">
        <v>5</v>
      </c>
      <c r="C75" s="1">
        <v>45889.343009259261</v>
      </c>
      <c r="D75" s="13">
        <v>75.69</v>
      </c>
      <c r="H75" t="str">
        <f t="shared" si="4"/>
        <v>CUST0076</v>
      </c>
      <c r="I75" s="16">
        <f t="shared" ca="1" si="5"/>
        <v>140.65699074073927</v>
      </c>
      <c r="J75">
        <f t="shared" si="6"/>
        <v>5</v>
      </c>
      <c r="K75">
        <f t="shared" si="7"/>
        <v>75.69</v>
      </c>
    </row>
    <row r="76" spans="1:11" x14ac:dyDescent="0.35">
      <c r="A76" s="12" t="s">
        <v>795</v>
      </c>
      <c r="B76" s="13">
        <v>4</v>
      </c>
      <c r="C76" s="1">
        <v>45848.343009259261</v>
      </c>
      <c r="D76" s="13">
        <v>91.19</v>
      </c>
      <c r="H76" t="str">
        <f t="shared" si="4"/>
        <v>CUST0077</v>
      </c>
      <c r="I76" s="16">
        <f t="shared" ca="1" si="5"/>
        <v>181.65699074073927</v>
      </c>
      <c r="J76">
        <f t="shared" si="6"/>
        <v>4</v>
      </c>
      <c r="K76">
        <f t="shared" si="7"/>
        <v>91.19</v>
      </c>
    </row>
    <row r="77" spans="1:11" x14ac:dyDescent="0.35">
      <c r="A77" s="12" t="s">
        <v>78</v>
      </c>
      <c r="B77" s="13">
        <v>3</v>
      </c>
      <c r="C77" s="1">
        <v>45954.343009259261</v>
      </c>
      <c r="D77" s="13">
        <v>70.13</v>
      </c>
      <c r="H77" t="str">
        <f t="shared" si="4"/>
        <v>CUST0078</v>
      </c>
      <c r="I77" s="16">
        <f t="shared" ca="1" si="5"/>
        <v>75.656990740739275</v>
      </c>
      <c r="J77">
        <f t="shared" si="6"/>
        <v>3</v>
      </c>
      <c r="K77">
        <f t="shared" si="7"/>
        <v>70.13</v>
      </c>
    </row>
    <row r="78" spans="1:11" x14ac:dyDescent="0.35">
      <c r="A78" s="12" t="s">
        <v>846</v>
      </c>
      <c r="B78" s="13">
        <v>2</v>
      </c>
      <c r="C78" s="1">
        <v>45937.343009259261</v>
      </c>
      <c r="D78" s="13">
        <v>38.49</v>
      </c>
      <c r="H78" t="str">
        <f t="shared" si="4"/>
        <v>CUST0079</v>
      </c>
      <c r="I78" s="16">
        <f t="shared" ca="1" si="5"/>
        <v>92.656990740739275</v>
      </c>
      <c r="J78">
        <f t="shared" si="6"/>
        <v>2</v>
      </c>
      <c r="K78">
        <f t="shared" si="7"/>
        <v>38.49</v>
      </c>
    </row>
    <row r="79" spans="1:11" x14ac:dyDescent="0.35">
      <c r="A79" s="12" t="s">
        <v>571</v>
      </c>
      <c r="B79" s="13">
        <v>3</v>
      </c>
      <c r="C79" s="1">
        <v>45898.343009259261</v>
      </c>
      <c r="D79" s="13">
        <v>80.930000000000007</v>
      </c>
      <c r="H79" t="str">
        <f t="shared" si="4"/>
        <v>CUST0080</v>
      </c>
      <c r="I79" s="16">
        <f t="shared" ca="1" si="5"/>
        <v>131.65699074073927</v>
      </c>
      <c r="J79">
        <f t="shared" si="6"/>
        <v>3</v>
      </c>
      <c r="K79">
        <f t="shared" si="7"/>
        <v>80.930000000000007</v>
      </c>
    </row>
    <row r="80" spans="1:11" x14ac:dyDescent="0.35">
      <c r="A80" s="12" t="s">
        <v>424</v>
      </c>
      <c r="B80" s="13">
        <v>3</v>
      </c>
      <c r="C80" s="1">
        <v>45743.343009259261</v>
      </c>
      <c r="D80" s="13">
        <v>52.34</v>
      </c>
      <c r="H80" t="str">
        <f t="shared" si="4"/>
        <v>CUST0081</v>
      </c>
      <c r="I80" s="16">
        <f t="shared" ca="1" si="5"/>
        <v>286.65699074073927</v>
      </c>
      <c r="J80">
        <f t="shared" si="6"/>
        <v>3</v>
      </c>
      <c r="K80">
        <f t="shared" si="7"/>
        <v>52.34</v>
      </c>
    </row>
    <row r="81" spans="1:11" x14ac:dyDescent="0.35">
      <c r="A81" s="12" t="s">
        <v>398</v>
      </c>
      <c r="B81" s="13">
        <v>5</v>
      </c>
      <c r="C81" s="1">
        <v>45960.343009259261</v>
      </c>
      <c r="D81" s="13">
        <v>88.89</v>
      </c>
      <c r="H81" t="str">
        <f t="shared" si="4"/>
        <v>CUST0082</v>
      </c>
      <c r="I81" s="16">
        <f t="shared" ca="1" si="5"/>
        <v>69.656990740739275</v>
      </c>
      <c r="J81">
        <f t="shared" si="6"/>
        <v>5</v>
      </c>
      <c r="K81">
        <f t="shared" si="7"/>
        <v>88.89</v>
      </c>
    </row>
    <row r="82" spans="1:11" x14ac:dyDescent="0.35">
      <c r="A82" s="12" t="s">
        <v>31</v>
      </c>
      <c r="B82" s="13">
        <v>8</v>
      </c>
      <c r="C82" s="1">
        <v>45926.343009259261</v>
      </c>
      <c r="D82" s="13">
        <v>123.51</v>
      </c>
      <c r="H82" t="str">
        <f t="shared" si="4"/>
        <v>CUST0084</v>
      </c>
      <c r="I82" s="16">
        <f t="shared" ca="1" si="5"/>
        <v>103.65699074073927</v>
      </c>
      <c r="J82">
        <f t="shared" si="6"/>
        <v>8</v>
      </c>
      <c r="K82">
        <f t="shared" si="7"/>
        <v>123.51</v>
      </c>
    </row>
    <row r="83" spans="1:11" x14ac:dyDescent="0.35">
      <c r="A83" s="12" t="s">
        <v>387</v>
      </c>
      <c r="B83" s="13">
        <v>2</v>
      </c>
      <c r="C83" s="1">
        <v>45779.343009259261</v>
      </c>
      <c r="D83" s="13">
        <v>41.95</v>
      </c>
      <c r="H83" t="str">
        <f t="shared" si="4"/>
        <v>CUST0085</v>
      </c>
      <c r="I83" s="16">
        <f t="shared" ca="1" si="5"/>
        <v>250.65699074073927</v>
      </c>
      <c r="J83">
        <f t="shared" si="6"/>
        <v>2</v>
      </c>
      <c r="K83">
        <f t="shared" si="7"/>
        <v>41.95</v>
      </c>
    </row>
    <row r="84" spans="1:11" x14ac:dyDescent="0.35">
      <c r="A84" s="12" t="s">
        <v>147</v>
      </c>
      <c r="B84" s="13">
        <v>4</v>
      </c>
      <c r="C84" s="1">
        <v>45921.343009259261</v>
      </c>
      <c r="D84" s="13">
        <v>30.27</v>
      </c>
      <c r="H84" t="str">
        <f t="shared" si="4"/>
        <v>CUST0086</v>
      </c>
      <c r="I84" s="16">
        <f t="shared" ca="1" si="5"/>
        <v>108.65699074073927</v>
      </c>
      <c r="J84">
        <f t="shared" si="6"/>
        <v>4</v>
      </c>
      <c r="K84">
        <f t="shared" si="7"/>
        <v>30.27</v>
      </c>
    </row>
    <row r="85" spans="1:11" x14ac:dyDescent="0.35">
      <c r="A85" s="12" t="s">
        <v>344</v>
      </c>
      <c r="B85" s="13">
        <v>4</v>
      </c>
      <c r="C85" s="1">
        <v>45815.343009259261</v>
      </c>
      <c r="D85" s="13">
        <v>57.61</v>
      </c>
      <c r="H85" t="str">
        <f t="shared" si="4"/>
        <v>CUST0087</v>
      </c>
      <c r="I85" s="16">
        <f t="shared" ca="1" si="5"/>
        <v>214.65699074073927</v>
      </c>
      <c r="J85">
        <f t="shared" si="6"/>
        <v>4</v>
      </c>
      <c r="K85">
        <f t="shared" si="7"/>
        <v>57.61</v>
      </c>
    </row>
    <row r="86" spans="1:11" x14ac:dyDescent="0.35">
      <c r="A86" s="12" t="s">
        <v>370</v>
      </c>
      <c r="B86" s="13">
        <v>2</v>
      </c>
      <c r="C86" s="1">
        <v>45820.343009259261</v>
      </c>
      <c r="D86" s="13">
        <v>21.91</v>
      </c>
      <c r="H86" t="str">
        <f t="shared" si="4"/>
        <v>CUST0088</v>
      </c>
      <c r="I86" s="16">
        <f t="shared" ca="1" si="5"/>
        <v>209.65699074073927</v>
      </c>
      <c r="J86">
        <f t="shared" si="6"/>
        <v>2</v>
      </c>
      <c r="K86">
        <f t="shared" si="7"/>
        <v>21.91</v>
      </c>
    </row>
    <row r="87" spans="1:11" x14ac:dyDescent="0.35">
      <c r="A87" s="12" t="s">
        <v>84</v>
      </c>
      <c r="B87" s="13">
        <v>6</v>
      </c>
      <c r="C87" s="1">
        <v>45887.343009259261</v>
      </c>
      <c r="D87" s="13">
        <v>60.04</v>
      </c>
      <c r="H87" t="str">
        <f t="shared" si="4"/>
        <v>CUST0089</v>
      </c>
      <c r="I87" s="16">
        <f t="shared" ca="1" si="5"/>
        <v>142.65699074073927</v>
      </c>
      <c r="J87">
        <f t="shared" si="6"/>
        <v>6</v>
      </c>
      <c r="K87">
        <f t="shared" si="7"/>
        <v>60.04</v>
      </c>
    </row>
    <row r="88" spans="1:11" x14ac:dyDescent="0.35">
      <c r="A88" s="12" t="s">
        <v>258</v>
      </c>
      <c r="B88" s="13">
        <v>5</v>
      </c>
      <c r="C88" s="1">
        <v>45947.343009259261</v>
      </c>
      <c r="D88" s="13">
        <v>49.970000000000006</v>
      </c>
      <c r="H88" t="str">
        <f t="shared" si="4"/>
        <v>CUST0090</v>
      </c>
      <c r="I88" s="16">
        <f t="shared" ca="1" si="5"/>
        <v>82.656990740739275</v>
      </c>
      <c r="J88">
        <f t="shared" si="6"/>
        <v>5</v>
      </c>
      <c r="K88">
        <f t="shared" si="7"/>
        <v>49.970000000000006</v>
      </c>
    </row>
    <row r="89" spans="1:11" x14ac:dyDescent="0.35">
      <c r="A89" s="12" t="s">
        <v>219</v>
      </c>
      <c r="B89" s="13">
        <v>5</v>
      </c>
      <c r="C89" s="1">
        <v>45815.343009259261</v>
      </c>
      <c r="D89" s="13">
        <v>113.27000000000001</v>
      </c>
      <c r="H89" t="str">
        <f t="shared" si="4"/>
        <v>CUST0092</v>
      </c>
      <c r="I89" s="16">
        <f t="shared" ca="1" si="5"/>
        <v>214.65699074073927</v>
      </c>
      <c r="J89">
        <f t="shared" si="6"/>
        <v>5</v>
      </c>
      <c r="K89">
        <f t="shared" si="7"/>
        <v>113.27000000000001</v>
      </c>
    </row>
    <row r="90" spans="1:11" x14ac:dyDescent="0.35">
      <c r="A90" s="12" t="s">
        <v>891</v>
      </c>
      <c r="B90" s="13">
        <v>4</v>
      </c>
      <c r="C90" s="1">
        <v>45960.343009259261</v>
      </c>
      <c r="D90" s="13">
        <v>64.37</v>
      </c>
      <c r="H90" t="str">
        <f t="shared" si="4"/>
        <v>CUST0093</v>
      </c>
      <c r="I90" s="16">
        <f t="shared" ca="1" si="5"/>
        <v>69.656990740739275</v>
      </c>
      <c r="J90">
        <f t="shared" si="6"/>
        <v>4</v>
      </c>
      <c r="K90">
        <f t="shared" si="7"/>
        <v>64.37</v>
      </c>
    </row>
    <row r="91" spans="1:11" x14ac:dyDescent="0.35">
      <c r="A91" s="12" t="s">
        <v>41</v>
      </c>
      <c r="B91" s="13">
        <v>1</v>
      </c>
      <c r="C91" s="1">
        <v>45726.343009259261</v>
      </c>
      <c r="D91" s="13">
        <v>11.82</v>
      </c>
      <c r="H91" t="str">
        <f t="shared" si="4"/>
        <v>CUST0094</v>
      </c>
      <c r="I91" s="16">
        <f t="shared" ca="1" si="5"/>
        <v>303.65699074073927</v>
      </c>
      <c r="J91">
        <f t="shared" si="6"/>
        <v>1</v>
      </c>
      <c r="K91">
        <f t="shared" si="7"/>
        <v>11.82</v>
      </c>
    </row>
    <row r="92" spans="1:11" x14ac:dyDescent="0.35">
      <c r="A92" s="12" t="s">
        <v>43</v>
      </c>
      <c r="B92" s="13">
        <v>3</v>
      </c>
      <c r="C92" s="1">
        <v>45912.343009259261</v>
      </c>
      <c r="D92" s="13">
        <v>31.41</v>
      </c>
      <c r="H92" t="str">
        <f t="shared" si="4"/>
        <v>CUST0095</v>
      </c>
      <c r="I92" s="16">
        <f t="shared" ca="1" si="5"/>
        <v>117.65699074073927</v>
      </c>
      <c r="J92">
        <f t="shared" si="6"/>
        <v>3</v>
      </c>
      <c r="K92">
        <f t="shared" si="7"/>
        <v>31.41</v>
      </c>
    </row>
    <row r="93" spans="1:11" x14ac:dyDescent="0.35">
      <c r="A93" s="12" t="s">
        <v>368</v>
      </c>
      <c r="B93" s="13">
        <v>3</v>
      </c>
      <c r="C93" s="1">
        <v>45906.343009259261</v>
      </c>
      <c r="D93" s="13">
        <v>95.009999999999991</v>
      </c>
      <c r="H93" t="str">
        <f t="shared" si="4"/>
        <v>CUST0096</v>
      </c>
      <c r="I93" s="16">
        <f t="shared" ca="1" si="5"/>
        <v>123.65699074073927</v>
      </c>
      <c r="J93">
        <f t="shared" si="6"/>
        <v>3</v>
      </c>
      <c r="K93">
        <f t="shared" si="7"/>
        <v>95.009999999999991</v>
      </c>
    </row>
    <row r="94" spans="1:11" x14ac:dyDescent="0.35">
      <c r="A94" s="12" t="s">
        <v>140</v>
      </c>
      <c r="B94" s="13">
        <v>2</v>
      </c>
      <c r="C94" s="1">
        <v>45786.343009259261</v>
      </c>
      <c r="D94" s="13">
        <v>32.729999999999997</v>
      </c>
      <c r="H94" t="str">
        <f t="shared" si="4"/>
        <v>CUST0097</v>
      </c>
      <c r="I94" s="16">
        <f t="shared" ca="1" si="5"/>
        <v>243.65699074073927</v>
      </c>
      <c r="J94">
        <f t="shared" si="6"/>
        <v>2</v>
      </c>
      <c r="K94">
        <f t="shared" si="7"/>
        <v>32.729999999999997</v>
      </c>
    </row>
    <row r="95" spans="1:11" x14ac:dyDescent="0.35">
      <c r="A95" s="12" t="s">
        <v>460</v>
      </c>
      <c r="B95" s="13">
        <v>6</v>
      </c>
      <c r="C95" s="1">
        <v>45960.343009259261</v>
      </c>
      <c r="D95" s="13">
        <v>122.55000000000001</v>
      </c>
      <c r="H95" t="str">
        <f t="shared" si="4"/>
        <v>CUST0098</v>
      </c>
      <c r="I95" s="16">
        <f t="shared" ca="1" si="5"/>
        <v>69.656990740739275</v>
      </c>
      <c r="J95">
        <f t="shared" si="6"/>
        <v>6</v>
      </c>
      <c r="K95">
        <f t="shared" si="7"/>
        <v>122.55000000000001</v>
      </c>
    </row>
    <row r="96" spans="1:11" x14ac:dyDescent="0.35">
      <c r="A96" s="12" t="s">
        <v>703</v>
      </c>
      <c r="B96" s="13">
        <v>2</v>
      </c>
      <c r="C96" s="1">
        <v>45944.343009259261</v>
      </c>
      <c r="D96" s="13">
        <v>58.25</v>
      </c>
      <c r="H96" t="str">
        <f t="shared" si="4"/>
        <v>CUST0099</v>
      </c>
      <c r="I96" s="16">
        <f t="shared" ca="1" si="5"/>
        <v>85.656990740739275</v>
      </c>
      <c r="J96">
        <f t="shared" si="6"/>
        <v>2</v>
      </c>
      <c r="K96">
        <f t="shared" si="7"/>
        <v>58.25</v>
      </c>
    </row>
    <row r="97" spans="1:11" x14ac:dyDescent="0.35">
      <c r="A97" s="12" t="s">
        <v>1047</v>
      </c>
      <c r="B97" s="13">
        <v>2</v>
      </c>
      <c r="C97" s="1">
        <v>45728.343009259261</v>
      </c>
      <c r="D97" s="13">
        <v>18.39</v>
      </c>
      <c r="H97" t="str">
        <f t="shared" si="4"/>
        <v>CUST0100</v>
      </c>
      <c r="I97" s="16">
        <f t="shared" ca="1" si="5"/>
        <v>301.65699074073927</v>
      </c>
      <c r="J97">
        <f t="shared" si="6"/>
        <v>2</v>
      </c>
      <c r="K97">
        <f t="shared" si="7"/>
        <v>18.39</v>
      </c>
    </row>
    <row r="98" spans="1:11" x14ac:dyDescent="0.35">
      <c r="A98" s="12" t="s">
        <v>33</v>
      </c>
      <c r="B98" s="13">
        <v>3</v>
      </c>
      <c r="C98" s="1">
        <v>45786.343009259261</v>
      </c>
      <c r="D98" s="13">
        <v>70.75</v>
      </c>
      <c r="H98" t="str">
        <f t="shared" si="4"/>
        <v>CUST0101</v>
      </c>
      <c r="I98" s="16">
        <f t="shared" ca="1" si="5"/>
        <v>243.65699074073927</v>
      </c>
      <c r="J98">
        <f t="shared" si="6"/>
        <v>3</v>
      </c>
      <c r="K98">
        <f t="shared" si="7"/>
        <v>70.75</v>
      </c>
    </row>
    <row r="99" spans="1:11" x14ac:dyDescent="0.35">
      <c r="A99" s="12" t="s">
        <v>558</v>
      </c>
      <c r="B99" s="13">
        <v>5</v>
      </c>
      <c r="C99" s="1">
        <v>45958.343009259261</v>
      </c>
      <c r="D99" s="13">
        <v>108.92</v>
      </c>
      <c r="H99" t="str">
        <f t="shared" si="4"/>
        <v>CUST0102</v>
      </c>
      <c r="I99" s="16">
        <f t="shared" ca="1" si="5"/>
        <v>71.656990740739275</v>
      </c>
      <c r="J99">
        <f t="shared" si="6"/>
        <v>5</v>
      </c>
      <c r="K99">
        <f t="shared" si="7"/>
        <v>108.92</v>
      </c>
    </row>
    <row r="100" spans="1:11" x14ac:dyDescent="0.35">
      <c r="A100" s="12" t="s">
        <v>606</v>
      </c>
      <c r="B100" s="13">
        <v>2</v>
      </c>
      <c r="C100" s="1">
        <v>45631.343009259261</v>
      </c>
      <c r="D100" s="13">
        <v>22.2</v>
      </c>
      <c r="H100" t="str">
        <f t="shared" si="4"/>
        <v>CUST0103</v>
      </c>
      <c r="I100" s="16">
        <f t="shared" ca="1" si="5"/>
        <v>398.65699074073927</v>
      </c>
      <c r="J100">
        <f t="shared" si="6"/>
        <v>2</v>
      </c>
      <c r="K100">
        <f t="shared" si="7"/>
        <v>22.2</v>
      </c>
    </row>
    <row r="101" spans="1:11" x14ac:dyDescent="0.35">
      <c r="A101" s="12" t="s">
        <v>94</v>
      </c>
      <c r="B101" s="13">
        <v>6</v>
      </c>
      <c r="C101" s="1">
        <v>45941.343009259261</v>
      </c>
      <c r="D101" s="13">
        <v>164.74</v>
      </c>
      <c r="H101" t="str">
        <f t="shared" si="4"/>
        <v>CUST0104</v>
      </c>
      <c r="I101" s="16">
        <f t="shared" ca="1" si="5"/>
        <v>88.656990740739275</v>
      </c>
      <c r="J101">
        <f t="shared" si="6"/>
        <v>6</v>
      </c>
      <c r="K101">
        <f t="shared" si="7"/>
        <v>164.74</v>
      </c>
    </row>
    <row r="102" spans="1:11" x14ac:dyDescent="0.35">
      <c r="A102" s="12" t="s">
        <v>723</v>
      </c>
      <c r="B102" s="13">
        <v>2</v>
      </c>
      <c r="C102" s="1">
        <v>45695.343009259261</v>
      </c>
      <c r="D102" s="13">
        <v>19.489999999999998</v>
      </c>
      <c r="H102" t="str">
        <f t="shared" si="4"/>
        <v>CUST0105</v>
      </c>
      <c r="I102" s="16">
        <f t="shared" ca="1" si="5"/>
        <v>334.65699074073927</v>
      </c>
      <c r="J102">
        <f t="shared" si="6"/>
        <v>2</v>
      </c>
      <c r="K102">
        <f t="shared" si="7"/>
        <v>19.489999999999998</v>
      </c>
    </row>
    <row r="103" spans="1:11" x14ac:dyDescent="0.35">
      <c r="A103" s="12" t="s">
        <v>217</v>
      </c>
      <c r="B103" s="13">
        <v>3</v>
      </c>
      <c r="C103" s="1">
        <v>45925.343009259261</v>
      </c>
      <c r="D103" s="13">
        <v>91.44</v>
      </c>
      <c r="H103" t="str">
        <f t="shared" si="4"/>
        <v>CUST0106</v>
      </c>
      <c r="I103" s="16">
        <f t="shared" ca="1" si="5"/>
        <v>104.65699074073927</v>
      </c>
      <c r="J103">
        <f t="shared" si="6"/>
        <v>3</v>
      </c>
      <c r="K103">
        <f t="shared" si="7"/>
        <v>91.44</v>
      </c>
    </row>
    <row r="104" spans="1:11" x14ac:dyDescent="0.35">
      <c r="A104" s="12" t="s">
        <v>687</v>
      </c>
      <c r="B104" s="13">
        <v>3</v>
      </c>
      <c r="C104" s="1">
        <v>45834.343009259261</v>
      </c>
      <c r="D104" s="13">
        <v>29.130000000000003</v>
      </c>
      <c r="H104" t="str">
        <f t="shared" si="4"/>
        <v>CUST0107</v>
      </c>
      <c r="I104" s="16">
        <f t="shared" ca="1" si="5"/>
        <v>195.65699074073927</v>
      </c>
      <c r="J104">
        <f t="shared" si="6"/>
        <v>3</v>
      </c>
      <c r="K104">
        <f t="shared" si="7"/>
        <v>29.130000000000003</v>
      </c>
    </row>
    <row r="105" spans="1:11" x14ac:dyDescent="0.35">
      <c r="A105" s="12" t="s">
        <v>555</v>
      </c>
      <c r="B105" s="13">
        <v>6</v>
      </c>
      <c r="C105" s="1">
        <v>45880.343009259261</v>
      </c>
      <c r="D105" s="13">
        <v>72.05</v>
      </c>
      <c r="H105" t="str">
        <f t="shared" si="4"/>
        <v>CUST0108</v>
      </c>
      <c r="I105" s="16">
        <f t="shared" ca="1" si="5"/>
        <v>149.65699074073927</v>
      </c>
      <c r="J105">
        <f t="shared" si="6"/>
        <v>6</v>
      </c>
      <c r="K105">
        <f t="shared" si="7"/>
        <v>72.05</v>
      </c>
    </row>
    <row r="106" spans="1:11" x14ac:dyDescent="0.35">
      <c r="A106" s="12" t="s">
        <v>458</v>
      </c>
      <c r="B106" s="13">
        <v>1</v>
      </c>
      <c r="C106" s="1">
        <v>45632.343009259261</v>
      </c>
      <c r="D106" s="13">
        <v>8.01</v>
      </c>
      <c r="H106" t="str">
        <f t="shared" si="4"/>
        <v>CUST0109</v>
      </c>
      <c r="I106" s="16">
        <f t="shared" ca="1" si="5"/>
        <v>397.65699074073927</v>
      </c>
      <c r="J106">
        <f t="shared" si="6"/>
        <v>1</v>
      </c>
      <c r="K106">
        <f t="shared" si="7"/>
        <v>8.01</v>
      </c>
    </row>
    <row r="107" spans="1:11" x14ac:dyDescent="0.35">
      <c r="A107" s="12" t="s">
        <v>236</v>
      </c>
      <c r="B107" s="13">
        <v>2</v>
      </c>
      <c r="C107" s="1">
        <v>45869.343009259261</v>
      </c>
      <c r="D107" s="13">
        <v>52.1</v>
      </c>
      <c r="H107" t="str">
        <f t="shared" si="4"/>
        <v>CUST0110</v>
      </c>
      <c r="I107" s="16">
        <f t="shared" ca="1" si="5"/>
        <v>160.65699074073927</v>
      </c>
      <c r="J107">
        <f t="shared" si="6"/>
        <v>2</v>
      </c>
      <c r="K107">
        <f t="shared" si="7"/>
        <v>52.1</v>
      </c>
    </row>
    <row r="108" spans="1:11" x14ac:dyDescent="0.35">
      <c r="A108" s="12" t="s">
        <v>130</v>
      </c>
      <c r="B108" s="13">
        <v>5</v>
      </c>
      <c r="C108" s="1">
        <v>45955.343009259261</v>
      </c>
      <c r="D108" s="13">
        <v>108.17999999999999</v>
      </c>
      <c r="H108" t="str">
        <f t="shared" si="4"/>
        <v>CUST0111</v>
      </c>
      <c r="I108" s="16">
        <f t="shared" ca="1" si="5"/>
        <v>74.656990740739275</v>
      </c>
      <c r="J108">
        <f t="shared" si="6"/>
        <v>5</v>
      </c>
      <c r="K108">
        <f t="shared" si="7"/>
        <v>108.17999999999999</v>
      </c>
    </row>
    <row r="109" spans="1:11" x14ac:dyDescent="0.35">
      <c r="A109" s="12" t="s">
        <v>391</v>
      </c>
      <c r="B109" s="13">
        <v>1</v>
      </c>
      <c r="C109" s="1">
        <v>45850.343009259261</v>
      </c>
      <c r="D109" s="13">
        <v>11.81</v>
      </c>
      <c r="H109" t="str">
        <f t="shared" si="4"/>
        <v>CUST0112</v>
      </c>
      <c r="I109" s="16">
        <f t="shared" ca="1" si="5"/>
        <v>179.65699074073927</v>
      </c>
      <c r="J109">
        <f t="shared" si="6"/>
        <v>1</v>
      </c>
      <c r="K109">
        <f t="shared" si="7"/>
        <v>11.81</v>
      </c>
    </row>
    <row r="110" spans="1:11" x14ac:dyDescent="0.35">
      <c r="A110" s="12" t="s">
        <v>325</v>
      </c>
      <c r="B110" s="13">
        <v>3</v>
      </c>
      <c r="C110" s="1">
        <v>45913.343009259261</v>
      </c>
      <c r="D110" s="13">
        <v>36.65</v>
      </c>
      <c r="H110" t="str">
        <f t="shared" si="4"/>
        <v>CUST0113</v>
      </c>
      <c r="I110" s="16">
        <f t="shared" ca="1" si="5"/>
        <v>116.65699074073927</v>
      </c>
      <c r="J110">
        <f t="shared" si="6"/>
        <v>3</v>
      </c>
      <c r="K110">
        <f t="shared" si="7"/>
        <v>36.65</v>
      </c>
    </row>
    <row r="111" spans="1:11" x14ac:dyDescent="0.35">
      <c r="A111" s="12" t="s">
        <v>327</v>
      </c>
      <c r="B111" s="13">
        <v>3</v>
      </c>
      <c r="C111" s="1">
        <v>45875.343009259261</v>
      </c>
      <c r="D111" s="13">
        <v>57.95</v>
      </c>
      <c r="H111" t="str">
        <f t="shared" si="4"/>
        <v>CUST0114</v>
      </c>
      <c r="I111" s="16">
        <f t="shared" ca="1" si="5"/>
        <v>154.65699074073927</v>
      </c>
      <c r="J111">
        <f t="shared" si="6"/>
        <v>3</v>
      </c>
      <c r="K111">
        <f t="shared" si="7"/>
        <v>57.95</v>
      </c>
    </row>
    <row r="112" spans="1:11" x14ac:dyDescent="0.35">
      <c r="A112" s="12" t="s">
        <v>177</v>
      </c>
      <c r="B112" s="13">
        <v>3</v>
      </c>
      <c r="C112" s="1">
        <v>45862.343009259261</v>
      </c>
      <c r="D112" s="13">
        <v>52.660000000000004</v>
      </c>
      <c r="H112" t="str">
        <f t="shared" si="4"/>
        <v>CUST0115</v>
      </c>
      <c r="I112" s="16">
        <f t="shared" ca="1" si="5"/>
        <v>167.65699074073927</v>
      </c>
      <c r="J112">
        <f t="shared" si="6"/>
        <v>3</v>
      </c>
      <c r="K112">
        <f t="shared" si="7"/>
        <v>52.660000000000004</v>
      </c>
    </row>
    <row r="113" spans="1:11" x14ac:dyDescent="0.35">
      <c r="A113" s="12" t="s">
        <v>952</v>
      </c>
      <c r="B113" s="13">
        <v>1</v>
      </c>
      <c r="C113" s="1">
        <v>45828.343009259261</v>
      </c>
      <c r="D113" s="13">
        <v>4.38</v>
      </c>
      <c r="H113" t="str">
        <f t="shared" si="4"/>
        <v>CUST0116</v>
      </c>
      <c r="I113" s="16">
        <f t="shared" ca="1" si="5"/>
        <v>201.65699074073927</v>
      </c>
      <c r="J113">
        <f t="shared" si="6"/>
        <v>1</v>
      </c>
      <c r="K113">
        <f t="shared" si="7"/>
        <v>4.38</v>
      </c>
    </row>
    <row r="114" spans="1:11" x14ac:dyDescent="0.35">
      <c r="A114" s="12" t="s">
        <v>248</v>
      </c>
      <c r="B114" s="13">
        <v>7</v>
      </c>
      <c r="C114" s="1">
        <v>45946.343009259261</v>
      </c>
      <c r="D114" s="13">
        <v>150.87</v>
      </c>
      <c r="H114" t="str">
        <f t="shared" si="4"/>
        <v>CUST0117</v>
      </c>
      <c r="I114" s="16">
        <f t="shared" ca="1" si="5"/>
        <v>83.656990740739275</v>
      </c>
      <c r="J114">
        <f t="shared" si="6"/>
        <v>7</v>
      </c>
      <c r="K114">
        <f t="shared" si="7"/>
        <v>150.87</v>
      </c>
    </row>
    <row r="115" spans="1:11" x14ac:dyDescent="0.35">
      <c r="A115" s="12" t="s">
        <v>153</v>
      </c>
      <c r="B115" s="13">
        <v>4</v>
      </c>
      <c r="C115" s="1">
        <v>45879.343009259261</v>
      </c>
      <c r="D115" s="13">
        <v>46.040000000000006</v>
      </c>
      <c r="H115" t="str">
        <f t="shared" si="4"/>
        <v>CUST0118</v>
      </c>
      <c r="I115" s="16">
        <f t="shared" ca="1" si="5"/>
        <v>150.65699074073927</v>
      </c>
      <c r="J115">
        <f t="shared" si="6"/>
        <v>4</v>
      </c>
      <c r="K115">
        <f t="shared" si="7"/>
        <v>46.040000000000006</v>
      </c>
    </row>
    <row r="116" spans="1:11" x14ac:dyDescent="0.35">
      <c r="A116" s="12" t="s">
        <v>409</v>
      </c>
      <c r="B116" s="13">
        <v>5</v>
      </c>
      <c r="C116" s="1">
        <v>45907.343009259261</v>
      </c>
      <c r="D116" s="13">
        <v>106.08</v>
      </c>
      <c r="H116" t="str">
        <f t="shared" si="4"/>
        <v>CUST0119</v>
      </c>
      <c r="I116" s="16">
        <f t="shared" ca="1" si="5"/>
        <v>122.65699074073927</v>
      </c>
      <c r="J116">
        <f t="shared" si="6"/>
        <v>5</v>
      </c>
      <c r="K116">
        <f t="shared" si="7"/>
        <v>106.08</v>
      </c>
    </row>
    <row r="117" spans="1:11" x14ac:dyDescent="0.35">
      <c r="A117" s="12" t="s">
        <v>374</v>
      </c>
      <c r="B117" s="13">
        <v>5</v>
      </c>
      <c r="C117" s="1">
        <v>45937.343009259261</v>
      </c>
      <c r="D117" s="13">
        <v>88.56</v>
      </c>
      <c r="H117" t="str">
        <f t="shared" si="4"/>
        <v>CUST0120</v>
      </c>
      <c r="I117" s="16">
        <f t="shared" ca="1" si="5"/>
        <v>92.656990740739275</v>
      </c>
      <c r="J117">
        <f t="shared" si="6"/>
        <v>5</v>
      </c>
      <c r="K117">
        <f t="shared" si="7"/>
        <v>88.56</v>
      </c>
    </row>
    <row r="118" spans="1:11" x14ac:dyDescent="0.35">
      <c r="A118" s="12" t="s">
        <v>1089</v>
      </c>
      <c r="B118" s="13">
        <v>2</v>
      </c>
      <c r="C118" s="1">
        <v>45844.343009259261</v>
      </c>
      <c r="D118" s="13">
        <v>44.730000000000004</v>
      </c>
      <c r="H118" t="str">
        <f t="shared" si="4"/>
        <v>CUST0121</v>
      </c>
      <c r="I118" s="16">
        <f t="shared" ca="1" si="5"/>
        <v>185.65699074073927</v>
      </c>
      <c r="J118">
        <f t="shared" si="6"/>
        <v>2</v>
      </c>
      <c r="K118">
        <f t="shared" si="7"/>
        <v>44.730000000000004</v>
      </c>
    </row>
    <row r="119" spans="1:11" x14ac:dyDescent="0.35">
      <c r="A119" s="12" t="s">
        <v>493</v>
      </c>
      <c r="B119" s="13">
        <v>3</v>
      </c>
      <c r="C119" s="1">
        <v>45905.343009259261</v>
      </c>
      <c r="D119" s="13">
        <v>45.870000000000005</v>
      </c>
      <c r="H119" t="str">
        <f t="shared" si="4"/>
        <v>CUST0122</v>
      </c>
      <c r="I119" s="16">
        <f t="shared" ca="1" si="5"/>
        <v>124.65699074073927</v>
      </c>
      <c r="J119">
        <f t="shared" si="6"/>
        <v>3</v>
      </c>
      <c r="K119">
        <f t="shared" si="7"/>
        <v>45.870000000000005</v>
      </c>
    </row>
    <row r="120" spans="1:11" x14ac:dyDescent="0.35">
      <c r="A120" s="12" t="s">
        <v>151</v>
      </c>
      <c r="B120" s="13">
        <v>3</v>
      </c>
      <c r="C120" s="1">
        <v>45899.343009259261</v>
      </c>
      <c r="D120" s="13">
        <v>59.820000000000007</v>
      </c>
      <c r="H120" t="str">
        <f t="shared" si="4"/>
        <v>CUST0123</v>
      </c>
      <c r="I120" s="16">
        <f t="shared" ca="1" si="5"/>
        <v>130.65699074073927</v>
      </c>
      <c r="J120">
        <f t="shared" si="6"/>
        <v>3</v>
      </c>
      <c r="K120">
        <f t="shared" si="7"/>
        <v>59.820000000000007</v>
      </c>
    </row>
    <row r="121" spans="1:11" x14ac:dyDescent="0.35">
      <c r="A121" s="12" t="s">
        <v>736</v>
      </c>
      <c r="B121" s="13">
        <v>2</v>
      </c>
      <c r="C121" s="1">
        <v>45775.343009259261</v>
      </c>
      <c r="D121" s="13">
        <v>27.5</v>
      </c>
      <c r="H121" t="str">
        <f t="shared" si="4"/>
        <v>CUST0124</v>
      </c>
      <c r="I121" s="16">
        <f t="shared" ca="1" si="5"/>
        <v>254.65699074073927</v>
      </c>
      <c r="J121">
        <f t="shared" si="6"/>
        <v>2</v>
      </c>
      <c r="K121">
        <f t="shared" si="7"/>
        <v>27.5</v>
      </c>
    </row>
    <row r="122" spans="1:11" x14ac:dyDescent="0.35">
      <c r="A122" s="12" t="s">
        <v>102</v>
      </c>
      <c r="B122" s="13">
        <v>3</v>
      </c>
      <c r="C122" s="1">
        <v>45762.343009259261</v>
      </c>
      <c r="D122" s="13">
        <v>41.379999999999995</v>
      </c>
      <c r="H122" t="str">
        <f t="shared" si="4"/>
        <v>CUST0125</v>
      </c>
      <c r="I122" s="16">
        <f t="shared" ca="1" si="5"/>
        <v>267.65699074073927</v>
      </c>
      <c r="J122">
        <f t="shared" si="6"/>
        <v>3</v>
      </c>
      <c r="K122">
        <f t="shared" si="7"/>
        <v>41.379999999999995</v>
      </c>
    </row>
    <row r="123" spans="1:11" x14ac:dyDescent="0.35">
      <c r="A123" s="12" t="s">
        <v>1122</v>
      </c>
      <c r="B123" s="13">
        <v>2</v>
      </c>
      <c r="C123" s="1">
        <v>45779.343009259261</v>
      </c>
      <c r="D123" s="13">
        <v>20.420000000000002</v>
      </c>
      <c r="H123" t="str">
        <f t="shared" si="4"/>
        <v>CUST0126</v>
      </c>
      <c r="I123" s="16">
        <f t="shared" ca="1" si="5"/>
        <v>250.65699074073927</v>
      </c>
      <c r="J123">
        <f t="shared" si="6"/>
        <v>2</v>
      </c>
      <c r="K123">
        <f t="shared" si="7"/>
        <v>20.420000000000002</v>
      </c>
    </row>
    <row r="124" spans="1:11" x14ac:dyDescent="0.35">
      <c r="A124" s="12" t="s">
        <v>215</v>
      </c>
      <c r="B124" s="13">
        <v>2</v>
      </c>
      <c r="C124" s="1">
        <v>45823.343009259261</v>
      </c>
      <c r="D124" s="13">
        <v>23.58</v>
      </c>
      <c r="H124" t="str">
        <f t="shared" si="4"/>
        <v>CUST0127</v>
      </c>
      <c r="I124" s="16">
        <f t="shared" ca="1" si="5"/>
        <v>206.65699074073927</v>
      </c>
      <c r="J124">
        <f t="shared" si="6"/>
        <v>2</v>
      </c>
      <c r="K124">
        <f t="shared" si="7"/>
        <v>23.58</v>
      </c>
    </row>
    <row r="125" spans="1:11" x14ac:dyDescent="0.35">
      <c r="A125" s="12" t="s">
        <v>266</v>
      </c>
      <c r="B125" s="13">
        <v>3</v>
      </c>
      <c r="C125" s="1">
        <v>45933.343009259261</v>
      </c>
      <c r="D125" s="13">
        <v>53.66</v>
      </c>
      <c r="H125" t="str">
        <f t="shared" si="4"/>
        <v>CUST0128</v>
      </c>
      <c r="I125" s="16">
        <f t="shared" ca="1" si="5"/>
        <v>96.656990740739275</v>
      </c>
      <c r="J125">
        <f t="shared" si="6"/>
        <v>3</v>
      </c>
      <c r="K125">
        <f t="shared" si="7"/>
        <v>53.66</v>
      </c>
    </row>
    <row r="126" spans="1:11" x14ac:dyDescent="0.35">
      <c r="A126" s="12" t="s">
        <v>542</v>
      </c>
      <c r="B126" s="13">
        <v>3</v>
      </c>
      <c r="C126" s="1">
        <v>45815.343009259261</v>
      </c>
      <c r="D126" s="13">
        <v>46.099999999999994</v>
      </c>
      <c r="H126" t="str">
        <f t="shared" si="4"/>
        <v>CUST0129</v>
      </c>
      <c r="I126" s="16">
        <f t="shared" ca="1" si="5"/>
        <v>214.65699074073927</v>
      </c>
      <c r="J126">
        <f t="shared" si="6"/>
        <v>3</v>
      </c>
      <c r="K126">
        <f t="shared" si="7"/>
        <v>46.099999999999994</v>
      </c>
    </row>
    <row r="127" spans="1:11" x14ac:dyDescent="0.35">
      <c r="A127" s="12" t="s">
        <v>28</v>
      </c>
      <c r="B127" s="13">
        <v>6</v>
      </c>
      <c r="C127" s="1">
        <v>45810.343009259261</v>
      </c>
      <c r="D127" s="13">
        <v>70.78</v>
      </c>
      <c r="H127" t="str">
        <f t="shared" si="4"/>
        <v>CUST0130</v>
      </c>
      <c r="I127" s="16">
        <f t="shared" ca="1" si="5"/>
        <v>219.65699074073927</v>
      </c>
      <c r="J127">
        <f t="shared" si="6"/>
        <v>6</v>
      </c>
      <c r="K127">
        <f t="shared" si="7"/>
        <v>70.78</v>
      </c>
    </row>
    <row r="128" spans="1:11" x14ac:dyDescent="0.35">
      <c r="A128" s="12" t="s">
        <v>337</v>
      </c>
      <c r="B128" s="13">
        <v>5</v>
      </c>
      <c r="C128" s="1">
        <v>45949.343009259261</v>
      </c>
      <c r="D128" s="13">
        <v>131.69</v>
      </c>
      <c r="H128" t="str">
        <f t="shared" si="4"/>
        <v>CUST0131</v>
      </c>
      <c r="I128" s="16">
        <f t="shared" ca="1" si="5"/>
        <v>80.656990740739275</v>
      </c>
      <c r="J128">
        <f t="shared" si="6"/>
        <v>5</v>
      </c>
      <c r="K128">
        <f t="shared" si="7"/>
        <v>131.69</v>
      </c>
    </row>
    <row r="129" spans="1:11" x14ac:dyDescent="0.35">
      <c r="A129" s="12" t="s">
        <v>82</v>
      </c>
      <c r="B129" s="13">
        <v>4</v>
      </c>
      <c r="C129" s="1">
        <v>45884.343009259261</v>
      </c>
      <c r="D129" s="13">
        <v>65.009999999999991</v>
      </c>
      <c r="H129" t="str">
        <f t="shared" si="4"/>
        <v>CUST0132</v>
      </c>
      <c r="I129" s="16">
        <f t="shared" ca="1" si="5"/>
        <v>145.65699074073927</v>
      </c>
      <c r="J129">
        <f t="shared" si="6"/>
        <v>4</v>
      </c>
      <c r="K129">
        <f t="shared" si="7"/>
        <v>65.009999999999991</v>
      </c>
    </row>
    <row r="130" spans="1:11" x14ac:dyDescent="0.35">
      <c r="A130" s="12" t="s">
        <v>211</v>
      </c>
      <c r="B130" s="13">
        <v>4</v>
      </c>
      <c r="C130" s="1">
        <v>45923.343009259261</v>
      </c>
      <c r="D130" s="13">
        <v>57.97</v>
      </c>
      <c r="H130" t="str">
        <f t="shared" si="4"/>
        <v>CUST0133</v>
      </c>
      <c r="I130" s="16">
        <f t="shared" ca="1" si="5"/>
        <v>106.65699074073927</v>
      </c>
      <c r="J130">
        <f t="shared" si="6"/>
        <v>4</v>
      </c>
      <c r="K130">
        <f t="shared" si="7"/>
        <v>57.97</v>
      </c>
    </row>
    <row r="131" spans="1:11" x14ac:dyDescent="0.35">
      <c r="A131" s="12" t="s">
        <v>122</v>
      </c>
      <c r="B131" s="13">
        <v>4</v>
      </c>
      <c r="C131" s="1">
        <v>45859.343009259261</v>
      </c>
      <c r="D131" s="13">
        <v>53.77</v>
      </c>
      <c r="H131" t="str">
        <f t="shared" si="4"/>
        <v>CUST0134</v>
      </c>
      <c r="I131" s="16">
        <f t="shared" ca="1" si="5"/>
        <v>170.65699074073927</v>
      </c>
      <c r="J131">
        <f t="shared" si="6"/>
        <v>4</v>
      </c>
      <c r="K131">
        <f t="shared" si="7"/>
        <v>53.77</v>
      </c>
    </row>
    <row r="132" spans="1:11" x14ac:dyDescent="0.35">
      <c r="A132" s="12" t="s">
        <v>167</v>
      </c>
      <c r="B132" s="13">
        <v>3</v>
      </c>
      <c r="C132" s="1">
        <v>45933.343009259261</v>
      </c>
      <c r="D132" s="13">
        <v>52.02</v>
      </c>
      <c r="H132" t="str">
        <f t="shared" si="4"/>
        <v>CUST0136</v>
      </c>
      <c r="I132" s="16">
        <f t="shared" ca="1" si="5"/>
        <v>96.656990740739275</v>
      </c>
      <c r="J132">
        <f t="shared" si="6"/>
        <v>3</v>
      </c>
      <c r="K132">
        <f t="shared" si="7"/>
        <v>52.02</v>
      </c>
    </row>
    <row r="133" spans="1:11" x14ac:dyDescent="0.35">
      <c r="A133" s="12" t="s">
        <v>49</v>
      </c>
      <c r="B133" s="13">
        <v>4</v>
      </c>
      <c r="C133" s="1">
        <v>45954.343009259261</v>
      </c>
      <c r="D133" s="13">
        <v>34.400000000000006</v>
      </c>
      <c r="H133" t="str">
        <f t="shared" ref="H133:H196" si="8">A133</f>
        <v>CUST0137</v>
      </c>
      <c r="I133" s="16">
        <f t="shared" ref="I133:I196" ca="1" si="9">$F$3-C133</f>
        <v>75.656990740739275</v>
      </c>
      <c r="J133">
        <f t="shared" ref="J133:J196" si="10">B133</f>
        <v>4</v>
      </c>
      <c r="K133">
        <f t="shared" ref="K133:K196" si="11">D133</f>
        <v>34.400000000000006</v>
      </c>
    </row>
    <row r="134" spans="1:11" x14ac:dyDescent="0.35">
      <c r="A134" s="12" t="s">
        <v>20</v>
      </c>
      <c r="B134" s="13">
        <v>1</v>
      </c>
      <c r="C134" s="1">
        <v>45784.343009259261</v>
      </c>
      <c r="D134" s="13">
        <v>15.44</v>
      </c>
      <c r="H134" t="str">
        <f t="shared" si="8"/>
        <v>CUST0138</v>
      </c>
      <c r="I134" s="16">
        <f t="shared" ca="1" si="9"/>
        <v>245.65699074073927</v>
      </c>
      <c r="J134">
        <f t="shared" si="10"/>
        <v>1</v>
      </c>
      <c r="K134">
        <f t="shared" si="11"/>
        <v>15.44</v>
      </c>
    </row>
    <row r="135" spans="1:11" x14ac:dyDescent="0.35">
      <c r="A135" s="12" t="s">
        <v>665</v>
      </c>
      <c r="B135" s="13">
        <v>1</v>
      </c>
      <c r="C135" s="1">
        <v>45753.343009259261</v>
      </c>
      <c r="D135" s="13">
        <v>27.37</v>
      </c>
      <c r="H135" t="str">
        <f t="shared" si="8"/>
        <v>CUST0140</v>
      </c>
      <c r="I135" s="16">
        <f t="shared" ca="1" si="9"/>
        <v>276.65699074073927</v>
      </c>
      <c r="J135">
        <f t="shared" si="10"/>
        <v>1</v>
      </c>
      <c r="K135">
        <f t="shared" si="11"/>
        <v>27.37</v>
      </c>
    </row>
    <row r="136" spans="1:11" x14ac:dyDescent="0.35">
      <c r="A136" s="12" t="s">
        <v>202</v>
      </c>
      <c r="B136" s="13">
        <v>5</v>
      </c>
      <c r="C136" s="1">
        <v>45926.343009259261</v>
      </c>
      <c r="D136" s="13">
        <v>35.08</v>
      </c>
      <c r="H136" t="str">
        <f t="shared" si="8"/>
        <v>CUST0141</v>
      </c>
      <c r="I136" s="16">
        <f t="shared" ca="1" si="9"/>
        <v>103.65699074073927</v>
      </c>
      <c r="J136">
        <f t="shared" si="10"/>
        <v>5</v>
      </c>
      <c r="K136">
        <f t="shared" si="11"/>
        <v>35.08</v>
      </c>
    </row>
    <row r="137" spans="1:11" x14ac:dyDescent="0.35">
      <c r="A137" s="12" t="s">
        <v>657</v>
      </c>
      <c r="B137" s="13">
        <v>2</v>
      </c>
      <c r="C137" s="1">
        <v>45950.343009259261</v>
      </c>
      <c r="D137" s="13">
        <v>40.78</v>
      </c>
      <c r="H137" t="str">
        <f t="shared" si="8"/>
        <v>CUST0142</v>
      </c>
      <c r="I137" s="16">
        <f t="shared" ca="1" si="9"/>
        <v>79.656990740739275</v>
      </c>
      <c r="J137">
        <f t="shared" si="10"/>
        <v>2</v>
      </c>
      <c r="K137">
        <f t="shared" si="11"/>
        <v>40.78</v>
      </c>
    </row>
    <row r="138" spans="1:11" x14ac:dyDescent="0.35">
      <c r="A138" s="12" t="s">
        <v>108</v>
      </c>
      <c r="B138" s="13">
        <v>6</v>
      </c>
      <c r="C138" s="1">
        <v>45911.343009259261</v>
      </c>
      <c r="D138" s="13">
        <v>170.41</v>
      </c>
      <c r="H138" t="str">
        <f t="shared" si="8"/>
        <v>CUST0143</v>
      </c>
      <c r="I138" s="16">
        <f t="shared" ca="1" si="9"/>
        <v>118.65699074073927</v>
      </c>
      <c r="J138">
        <f t="shared" si="10"/>
        <v>6</v>
      </c>
      <c r="K138">
        <f t="shared" si="11"/>
        <v>170.41</v>
      </c>
    </row>
    <row r="139" spans="1:11" x14ac:dyDescent="0.35">
      <c r="A139" s="12" t="s">
        <v>313</v>
      </c>
      <c r="B139" s="13">
        <v>2</v>
      </c>
      <c r="C139" s="1">
        <v>45877.343009259261</v>
      </c>
      <c r="D139" s="13">
        <v>16.04</v>
      </c>
      <c r="H139" t="str">
        <f t="shared" si="8"/>
        <v>CUST0144</v>
      </c>
      <c r="I139" s="16">
        <f t="shared" ca="1" si="9"/>
        <v>152.65699074073927</v>
      </c>
      <c r="J139">
        <f t="shared" si="10"/>
        <v>2</v>
      </c>
      <c r="K139">
        <f t="shared" si="11"/>
        <v>16.04</v>
      </c>
    </row>
    <row r="140" spans="1:11" x14ac:dyDescent="0.35">
      <c r="A140" s="12" t="s">
        <v>112</v>
      </c>
      <c r="B140" s="13">
        <v>5</v>
      </c>
      <c r="C140" s="1">
        <v>45837.343009259261</v>
      </c>
      <c r="D140" s="13">
        <v>85.98</v>
      </c>
      <c r="H140" t="str">
        <f t="shared" si="8"/>
        <v>CUST0145</v>
      </c>
      <c r="I140" s="16">
        <f t="shared" ca="1" si="9"/>
        <v>192.65699074073927</v>
      </c>
      <c r="J140">
        <f t="shared" si="10"/>
        <v>5</v>
      </c>
      <c r="K140">
        <f t="shared" si="11"/>
        <v>85.98</v>
      </c>
    </row>
    <row r="141" spans="1:11" x14ac:dyDescent="0.35">
      <c r="A141" s="12" t="s">
        <v>465</v>
      </c>
      <c r="B141" s="13">
        <v>4</v>
      </c>
      <c r="C141" s="1">
        <v>45910.343009259261</v>
      </c>
      <c r="D141" s="13">
        <v>64.989999999999995</v>
      </c>
      <c r="H141" t="str">
        <f t="shared" si="8"/>
        <v>CUST0146</v>
      </c>
      <c r="I141" s="16">
        <f t="shared" ca="1" si="9"/>
        <v>119.65699074073927</v>
      </c>
      <c r="J141">
        <f t="shared" si="10"/>
        <v>4</v>
      </c>
      <c r="K141">
        <f t="shared" si="11"/>
        <v>64.989999999999995</v>
      </c>
    </row>
    <row r="142" spans="1:11" x14ac:dyDescent="0.35">
      <c r="A142" s="12" t="s">
        <v>389</v>
      </c>
      <c r="B142" s="13">
        <v>5</v>
      </c>
      <c r="C142" s="1">
        <v>45863.343009259261</v>
      </c>
      <c r="D142" s="13">
        <v>98.47999999999999</v>
      </c>
      <c r="H142" t="str">
        <f t="shared" si="8"/>
        <v>CUST0147</v>
      </c>
      <c r="I142" s="16">
        <f t="shared" ca="1" si="9"/>
        <v>166.65699074073927</v>
      </c>
      <c r="J142">
        <f t="shared" si="10"/>
        <v>5</v>
      </c>
      <c r="K142">
        <f t="shared" si="11"/>
        <v>98.47999999999999</v>
      </c>
    </row>
    <row r="143" spans="1:11" x14ac:dyDescent="0.35">
      <c r="A143" s="12" t="s">
        <v>190</v>
      </c>
      <c r="B143" s="13">
        <v>5</v>
      </c>
      <c r="C143" s="1">
        <v>45939.343009259261</v>
      </c>
      <c r="D143" s="13">
        <v>90.62</v>
      </c>
      <c r="H143" t="str">
        <f t="shared" si="8"/>
        <v>CUST0148</v>
      </c>
      <c r="I143" s="16">
        <f t="shared" ca="1" si="9"/>
        <v>90.656990740739275</v>
      </c>
      <c r="J143">
        <f t="shared" si="10"/>
        <v>5</v>
      </c>
      <c r="K143">
        <f t="shared" si="11"/>
        <v>90.62</v>
      </c>
    </row>
    <row r="144" spans="1:11" x14ac:dyDescent="0.35">
      <c r="A144" s="12" t="s">
        <v>243</v>
      </c>
      <c r="B144" s="13">
        <v>4</v>
      </c>
      <c r="C144" s="1">
        <v>45915.343009259261</v>
      </c>
      <c r="D144" s="13">
        <v>61.65</v>
      </c>
      <c r="H144" t="str">
        <f t="shared" si="8"/>
        <v>CUST0149</v>
      </c>
      <c r="I144" s="16">
        <f t="shared" ca="1" si="9"/>
        <v>114.65699074073927</v>
      </c>
      <c r="J144">
        <f t="shared" si="10"/>
        <v>4</v>
      </c>
      <c r="K144">
        <f t="shared" si="11"/>
        <v>61.65</v>
      </c>
    </row>
    <row r="145" spans="1:11" x14ac:dyDescent="0.35">
      <c r="A145" s="12" t="s">
        <v>284</v>
      </c>
      <c r="B145" s="13">
        <v>3</v>
      </c>
      <c r="C145" s="1">
        <v>45714.343009259261</v>
      </c>
      <c r="D145" s="13">
        <v>90.490000000000009</v>
      </c>
      <c r="H145" t="str">
        <f t="shared" si="8"/>
        <v>CUST0150</v>
      </c>
      <c r="I145" s="16">
        <f t="shared" ca="1" si="9"/>
        <v>315.65699074073927</v>
      </c>
      <c r="J145">
        <f t="shared" si="10"/>
        <v>3</v>
      </c>
      <c r="K145">
        <f t="shared" si="11"/>
        <v>90.490000000000009</v>
      </c>
    </row>
    <row r="146" spans="1:11" x14ac:dyDescent="0.35">
      <c r="A146" s="12" t="s">
        <v>385</v>
      </c>
      <c r="B146" s="13">
        <v>2</v>
      </c>
      <c r="C146" s="1">
        <v>45798.343009259261</v>
      </c>
      <c r="D146" s="13">
        <v>21.74</v>
      </c>
      <c r="H146" t="str">
        <f t="shared" si="8"/>
        <v>CUST0151</v>
      </c>
      <c r="I146" s="16">
        <f t="shared" ca="1" si="9"/>
        <v>231.65699074073927</v>
      </c>
      <c r="J146">
        <f t="shared" si="10"/>
        <v>2</v>
      </c>
      <c r="K146">
        <f t="shared" si="11"/>
        <v>21.74</v>
      </c>
    </row>
    <row r="147" spans="1:11" x14ac:dyDescent="0.35">
      <c r="A147" s="12" t="s">
        <v>272</v>
      </c>
      <c r="B147" s="13">
        <v>6</v>
      </c>
      <c r="C147" s="1">
        <v>45878.343009259261</v>
      </c>
      <c r="D147" s="13">
        <v>92.440000000000012</v>
      </c>
      <c r="H147" t="str">
        <f t="shared" si="8"/>
        <v>CUST0152</v>
      </c>
      <c r="I147" s="16">
        <f t="shared" ca="1" si="9"/>
        <v>151.65699074073927</v>
      </c>
      <c r="J147">
        <f t="shared" si="10"/>
        <v>6</v>
      </c>
      <c r="K147">
        <f t="shared" si="11"/>
        <v>92.440000000000012</v>
      </c>
    </row>
    <row r="148" spans="1:11" x14ac:dyDescent="0.35">
      <c r="A148" s="12" t="s">
        <v>110</v>
      </c>
      <c r="B148" s="13">
        <v>6</v>
      </c>
      <c r="C148" s="1">
        <v>45870.343009259261</v>
      </c>
      <c r="D148" s="13">
        <v>92.68</v>
      </c>
      <c r="H148" t="str">
        <f t="shared" si="8"/>
        <v>CUST0153</v>
      </c>
      <c r="I148" s="16">
        <f t="shared" ca="1" si="9"/>
        <v>159.65699074073927</v>
      </c>
      <c r="J148">
        <f t="shared" si="10"/>
        <v>6</v>
      </c>
      <c r="K148">
        <f t="shared" si="11"/>
        <v>92.68</v>
      </c>
    </row>
    <row r="149" spans="1:11" x14ac:dyDescent="0.35">
      <c r="A149" s="12" t="s">
        <v>250</v>
      </c>
      <c r="B149" s="13">
        <v>7</v>
      </c>
      <c r="C149" s="1">
        <v>45900.343009259261</v>
      </c>
      <c r="D149" s="13">
        <v>88.160000000000011</v>
      </c>
      <c r="H149" t="str">
        <f t="shared" si="8"/>
        <v>CUST0154</v>
      </c>
      <c r="I149" s="16">
        <f t="shared" ca="1" si="9"/>
        <v>129.65699074073927</v>
      </c>
      <c r="J149">
        <f t="shared" si="10"/>
        <v>7</v>
      </c>
      <c r="K149">
        <f t="shared" si="11"/>
        <v>88.160000000000011</v>
      </c>
    </row>
    <row r="150" spans="1:11" x14ac:dyDescent="0.35">
      <c r="A150" s="12" t="s">
        <v>776</v>
      </c>
      <c r="B150" s="13">
        <v>2</v>
      </c>
      <c r="C150" s="1">
        <v>45848.343009259261</v>
      </c>
      <c r="D150" s="13">
        <v>33.090000000000003</v>
      </c>
      <c r="H150" t="str">
        <f t="shared" si="8"/>
        <v>CUST0155</v>
      </c>
      <c r="I150" s="16">
        <f t="shared" ca="1" si="9"/>
        <v>181.65699074073927</v>
      </c>
      <c r="J150">
        <f t="shared" si="10"/>
        <v>2</v>
      </c>
      <c r="K150">
        <f t="shared" si="11"/>
        <v>33.090000000000003</v>
      </c>
    </row>
    <row r="151" spans="1:11" x14ac:dyDescent="0.35">
      <c r="A151" s="12" t="s">
        <v>287</v>
      </c>
      <c r="B151" s="13">
        <v>3</v>
      </c>
      <c r="C151" s="1">
        <v>45696.343009259261</v>
      </c>
      <c r="D151" s="13">
        <v>72.319999999999993</v>
      </c>
      <c r="H151" t="str">
        <f t="shared" si="8"/>
        <v>CUST0156</v>
      </c>
      <c r="I151" s="16">
        <f t="shared" ca="1" si="9"/>
        <v>333.65699074073927</v>
      </c>
      <c r="J151">
        <f t="shared" si="10"/>
        <v>3</v>
      </c>
      <c r="K151">
        <f t="shared" si="11"/>
        <v>72.319999999999993</v>
      </c>
    </row>
    <row r="152" spans="1:11" x14ac:dyDescent="0.35">
      <c r="A152" s="12" t="s">
        <v>132</v>
      </c>
      <c r="B152" s="13">
        <v>7</v>
      </c>
      <c r="C152" s="1">
        <v>45912.343009259261</v>
      </c>
      <c r="D152" s="13">
        <v>132.82999999999998</v>
      </c>
      <c r="H152" t="str">
        <f t="shared" si="8"/>
        <v>CUST0157</v>
      </c>
      <c r="I152" s="16">
        <f t="shared" ca="1" si="9"/>
        <v>117.65699074073927</v>
      </c>
      <c r="J152">
        <f t="shared" si="10"/>
        <v>7</v>
      </c>
      <c r="K152">
        <f t="shared" si="11"/>
        <v>132.82999999999998</v>
      </c>
    </row>
    <row r="153" spans="1:11" x14ac:dyDescent="0.35">
      <c r="A153" s="12" t="s">
        <v>309</v>
      </c>
      <c r="B153" s="13">
        <v>5</v>
      </c>
      <c r="C153" s="1">
        <v>45906.343009259261</v>
      </c>
      <c r="D153" s="13">
        <v>77.510000000000005</v>
      </c>
      <c r="H153" t="str">
        <f t="shared" si="8"/>
        <v>CUST0158</v>
      </c>
      <c r="I153" s="16">
        <f t="shared" ca="1" si="9"/>
        <v>123.65699074073927</v>
      </c>
      <c r="J153">
        <f t="shared" si="10"/>
        <v>5</v>
      </c>
      <c r="K153">
        <f t="shared" si="11"/>
        <v>77.510000000000005</v>
      </c>
    </row>
    <row r="154" spans="1:11" x14ac:dyDescent="0.35">
      <c r="A154" s="12" t="s">
        <v>157</v>
      </c>
      <c r="B154" s="13">
        <v>5</v>
      </c>
      <c r="C154" s="1">
        <v>45916.343009259261</v>
      </c>
      <c r="D154" s="13">
        <v>85.34</v>
      </c>
      <c r="H154" t="str">
        <f t="shared" si="8"/>
        <v>CUST0159</v>
      </c>
      <c r="I154" s="16">
        <f t="shared" ca="1" si="9"/>
        <v>113.65699074073927</v>
      </c>
      <c r="J154">
        <f t="shared" si="10"/>
        <v>5</v>
      </c>
      <c r="K154">
        <f t="shared" si="11"/>
        <v>85.34</v>
      </c>
    </row>
    <row r="155" spans="1:11" x14ac:dyDescent="0.35">
      <c r="A155" s="12" t="s">
        <v>713</v>
      </c>
      <c r="B155" s="13">
        <v>4</v>
      </c>
      <c r="C155" s="1">
        <v>45951.343009259261</v>
      </c>
      <c r="D155" s="13">
        <v>59.02</v>
      </c>
      <c r="H155" t="str">
        <f t="shared" si="8"/>
        <v>CUST0160</v>
      </c>
      <c r="I155" s="16">
        <f t="shared" ca="1" si="9"/>
        <v>78.656990740739275</v>
      </c>
      <c r="J155">
        <f t="shared" si="10"/>
        <v>4</v>
      </c>
      <c r="K155">
        <f t="shared" si="11"/>
        <v>59.02</v>
      </c>
    </row>
    <row r="156" spans="1:11" x14ac:dyDescent="0.35">
      <c r="A156" s="12" t="s">
        <v>9</v>
      </c>
      <c r="B156" s="13">
        <v>8</v>
      </c>
      <c r="C156" s="1">
        <v>45944.343009259261</v>
      </c>
      <c r="D156" s="13">
        <v>103.61000000000001</v>
      </c>
      <c r="H156" t="str">
        <f t="shared" si="8"/>
        <v>CUST0161</v>
      </c>
      <c r="I156" s="16">
        <f t="shared" ca="1" si="9"/>
        <v>85.656990740739275</v>
      </c>
      <c r="J156">
        <f t="shared" si="10"/>
        <v>8</v>
      </c>
      <c r="K156">
        <f t="shared" si="11"/>
        <v>103.61000000000001</v>
      </c>
    </row>
    <row r="157" spans="1:11" x14ac:dyDescent="0.35">
      <c r="A157" s="12" t="s">
        <v>342</v>
      </c>
      <c r="B157" s="13">
        <v>2</v>
      </c>
      <c r="C157" s="1">
        <v>45828.343009259261</v>
      </c>
      <c r="D157" s="13">
        <v>14.67</v>
      </c>
      <c r="H157" t="str">
        <f t="shared" si="8"/>
        <v>CUST0162</v>
      </c>
      <c r="I157" s="16">
        <f t="shared" ca="1" si="9"/>
        <v>201.65699074073927</v>
      </c>
      <c r="J157">
        <f t="shared" si="10"/>
        <v>2</v>
      </c>
      <c r="K157">
        <f t="shared" si="11"/>
        <v>14.67</v>
      </c>
    </row>
    <row r="158" spans="1:11" x14ac:dyDescent="0.35">
      <c r="A158" s="12" t="s">
        <v>809</v>
      </c>
      <c r="B158" s="13">
        <v>3</v>
      </c>
      <c r="C158" s="1">
        <v>45746.343009259261</v>
      </c>
      <c r="D158" s="13">
        <v>29.840000000000003</v>
      </c>
      <c r="H158" t="str">
        <f t="shared" si="8"/>
        <v>CUST0163</v>
      </c>
      <c r="I158" s="16">
        <f t="shared" ca="1" si="9"/>
        <v>283.65699074073927</v>
      </c>
      <c r="J158">
        <f t="shared" si="10"/>
        <v>3</v>
      </c>
      <c r="K158">
        <f t="shared" si="11"/>
        <v>29.840000000000003</v>
      </c>
    </row>
    <row r="159" spans="1:11" x14ac:dyDescent="0.35">
      <c r="A159" s="12" t="s">
        <v>511</v>
      </c>
      <c r="B159" s="13">
        <v>4</v>
      </c>
      <c r="C159" s="1">
        <v>45860.343009259261</v>
      </c>
      <c r="D159" s="13">
        <v>52.29</v>
      </c>
      <c r="H159" t="str">
        <f t="shared" si="8"/>
        <v>CUST0164</v>
      </c>
      <c r="I159" s="16">
        <f t="shared" ca="1" si="9"/>
        <v>169.65699074073927</v>
      </c>
      <c r="J159">
        <f t="shared" si="10"/>
        <v>4</v>
      </c>
      <c r="K159">
        <f t="shared" si="11"/>
        <v>52.29</v>
      </c>
    </row>
    <row r="160" spans="1:11" x14ac:dyDescent="0.35">
      <c r="A160" s="12" t="s">
        <v>74</v>
      </c>
      <c r="B160" s="13">
        <v>4</v>
      </c>
      <c r="C160" s="1">
        <v>45842.343009259261</v>
      </c>
      <c r="D160" s="13">
        <v>85.34</v>
      </c>
      <c r="H160" t="str">
        <f t="shared" si="8"/>
        <v>CUST0165</v>
      </c>
      <c r="I160" s="16">
        <f t="shared" ca="1" si="9"/>
        <v>187.65699074073927</v>
      </c>
      <c r="J160">
        <f t="shared" si="10"/>
        <v>4</v>
      </c>
      <c r="K160">
        <f t="shared" si="11"/>
        <v>85.34</v>
      </c>
    </row>
    <row r="161" spans="1:11" x14ac:dyDescent="0.35">
      <c r="A161" s="12" t="s">
        <v>331</v>
      </c>
      <c r="B161" s="13">
        <v>4</v>
      </c>
      <c r="C161" s="1">
        <v>45956.343009259261</v>
      </c>
      <c r="D161" s="13">
        <v>137.26</v>
      </c>
      <c r="H161" t="str">
        <f t="shared" si="8"/>
        <v>CUST0166</v>
      </c>
      <c r="I161" s="16">
        <f t="shared" ca="1" si="9"/>
        <v>73.656990740739275</v>
      </c>
      <c r="J161">
        <f t="shared" si="10"/>
        <v>4</v>
      </c>
      <c r="K161">
        <f t="shared" si="11"/>
        <v>137.26</v>
      </c>
    </row>
    <row r="162" spans="1:11" x14ac:dyDescent="0.35">
      <c r="A162" s="12" t="s">
        <v>1280</v>
      </c>
      <c r="B162" s="13">
        <v>1</v>
      </c>
      <c r="C162" s="1">
        <v>45713.343009259261</v>
      </c>
      <c r="D162" s="13">
        <v>10.17</v>
      </c>
      <c r="H162" t="str">
        <f t="shared" si="8"/>
        <v>CUST0167</v>
      </c>
      <c r="I162" s="16">
        <f t="shared" ca="1" si="9"/>
        <v>316.65699074073927</v>
      </c>
      <c r="J162">
        <f t="shared" si="10"/>
        <v>1</v>
      </c>
      <c r="K162">
        <f t="shared" si="11"/>
        <v>10.17</v>
      </c>
    </row>
    <row r="163" spans="1:11" x14ac:dyDescent="0.35">
      <c r="A163" s="12" t="s">
        <v>26</v>
      </c>
      <c r="B163" s="13">
        <v>3</v>
      </c>
      <c r="C163" s="1">
        <v>45918.343009259261</v>
      </c>
      <c r="D163" s="13">
        <v>58.050000000000004</v>
      </c>
      <c r="H163" t="str">
        <f t="shared" si="8"/>
        <v>CUST0168</v>
      </c>
      <c r="I163" s="16">
        <f t="shared" ca="1" si="9"/>
        <v>111.65699074073927</v>
      </c>
      <c r="J163">
        <f t="shared" si="10"/>
        <v>3</v>
      </c>
      <c r="K163">
        <f t="shared" si="11"/>
        <v>58.050000000000004</v>
      </c>
    </row>
    <row r="164" spans="1:11" x14ac:dyDescent="0.35">
      <c r="A164" s="12" t="s">
        <v>767</v>
      </c>
      <c r="B164" s="13">
        <v>2</v>
      </c>
      <c r="C164" s="1">
        <v>45638.343009259261</v>
      </c>
      <c r="D164" s="13">
        <v>53.61</v>
      </c>
      <c r="H164" t="str">
        <f t="shared" si="8"/>
        <v>CUST0169</v>
      </c>
      <c r="I164" s="16">
        <f t="shared" ca="1" si="9"/>
        <v>391.65699074073927</v>
      </c>
      <c r="J164">
        <f t="shared" si="10"/>
        <v>2</v>
      </c>
      <c r="K164">
        <f t="shared" si="11"/>
        <v>53.61</v>
      </c>
    </row>
    <row r="165" spans="1:11" x14ac:dyDescent="0.35">
      <c r="A165" s="12" t="s">
        <v>628</v>
      </c>
      <c r="B165" s="13">
        <v>4</v>
      </c>
      <c r="C165" s="1">
        <v>45930.343009259261</v>
      </c>
      <c r="D165" s="13">
        <v>62.59</v>
      </c>
      <c r="H165" t="str">
        <f t="shared" si="8"/>
        <v>CUST0170</v>
      </c>
      <c r="I165" s="16">
        <f t="shared" ca="1" si="9"/>
        <v>99.656990740739275</v>
      </c>
      <c r="J165">
        <f t="shared" si="10"/>
        <v>4</v>
      </c>
      <c r="K165">
        <f t="shared" si="11"/>
        <v>62.59</v>
      </c>
    </row>
    <row r="166" spans="1:11" x14ac:dyDescent="0.35">
      <c r="A166" s="12" t="s">
        <v>209</v>
      </c>
      <c r="B166" s="13">
        <v>3</v>
      </c>
      <c r="C166" s="1">
        <v>45883.343009259261</v>
      </c>
      <c r="D166" s="13">
        <v>37.590000000000003</v>
      </c>
      <c r="H166" t="str">
        <f t="shared" si="8"/>
        <v>CUST0171</v>
      </c>
      <c r="I166" s="16">
        <f t="shared" ca="1" si="9"/>
        <v>146.65699074073927</v>
      </c>
      <c r="J166">
        <f t="shared" si="10"/>
        <v>3</v>
      </c>
      <c r="K166">
        <f t="shared" si="11"/>
        <v>37.590000000000003</v>
      </c>
    </row>
    <row r="167" spans="1:11" x14ac:dyDescent="0.35">
      <c r="A167" s="12" t="s">
        <v>22</v>
      </c>
      <c r="B167" s="13">
        <v>3</v>
      </c>
      <c r="C167" s="1">
        <v>45906.343009259261</v>
      </c>
      <c r="D167" s="13">
        <v>61.62</v>
      </c>
      <c r="H167" t="str">
        <f t="shared" si="8"/>
        <v>CUST0172</v>
      </c>
      <c r="I167" s="16">
        <f t="shared" ca="1" si="9"/>
        <v>123.65699074073927</v>
      </c>
      <c r="J167">
        <f t="shared" si="10"/>
        <v>3</v>
      </c>
      <c r="K167">
        <f t="shared" si="11"/>
        <v>61.62</v>
      </c>
    </row>
    <row r="168" spans="1:11" x14ac:dyDescent="0.35">
      <c r="A168" s="12" t="s">
        <v>173</v>
      </c>
      <c r="B168" s="13">
        <v>4</v>
      </c>
      <c r="C168" s="1">
        <v>45933.343009259261</v>
      </c>
      <c r="D168" s="13">
        <v>52.510000000000005</v>
      </c>
      <c r="H168" t="str">
        <f t="shared" si="8"/>
        <v>CUST0173</v>
      </c>
      <c r="I168" s="16">
        <f t="shared" ca="1" si="9"/>
        <v>96.656990740739275</v>
      </c>
      <c r="J168">
        <f t="shared" si="10"/>
        <v>4</v>
      </c>
      <c r="K168">
        <f t="shared" si="11"/>
        <v>52.510000000000005</v>
      </c>
    </row>
    <row r="169" spans="1:11" x14ac:dyDescent="0.35">
      <c r="A169" s="12" t="s">
        <v>896</v>
      </c>
      <c r="B169" s="13">
        <v>2</v>
      </c>
      <c r="C169" s="1">
        <v>45922.343009259261</v>
      </c>
      <c r="D169" s="13">
        <v>55.1</v>
      </c>
      <c r="H169" t="str">
        <f t="shared" si="8"/>
        <v>CUST0174</v>
      </c>
      <c r="I169" s="16">
        <f t="shared" ca="1" si="9"/>
        <v>107.65699074073927</v>
      </c>
      <c r="J169">
        <f t="shared" si="10"/>
        <v>2</v>
      </c>
      <c r="K169">
        <f t="shared" si="11"/>
        <v>55.1</v>
      </c>
    </row>
    <row r="170" spans="1:11" x14ac:dyDescent="0.35">
      <c r="A170" s="12" t="s">
        <v>321</v>
      </c>
      <c r="B170" s="13">
        <v>6</v>
      </c>
      <c r="C170" s="1">
        <v>45930.343009259261</v>
      </c>
      <c r="D170" s="13">
        <v>86.22</v>
      </c>
      <c r="H170" t="str">
        <f t="shared" si="8"/>
        <v>CUST0175</v>
      </c>
      <c r="I170" s="16">
        <f t="shared" ca="1" si="9"/>
        <v>99.656990740739275</v>
      </c>
      <c r="J170">
        <f t="shared" si="10"/>
        <v>6</v>
      </c>
      <c r="K170">
        <f t="shared" si="11"/>
        <v>86.22</v>
      </c>
    </row>
    <row r="171" spans="1:11" x14ac:dyDescent="0.35">
      <c r="A171" s="12" t="s">
        <v>601</v>
      </c>
      <c r="B171" s="13">
        <v>4</v>
      </c>
      <c r="C171" s="1">
        <v>45920.343009259261</v>
      </c>
      <c r="D171" s="13">
        <v>107.85</v>
      </c>
      <c r="H171" t="str">
        <f t="shared" si="8"/>
        <v>CUST0176</v>
      </c>
      <c r="I171" s="16">
        <f t="shared" ca="1" si="9"/>
        <v>109.65699074073927</v>
      </c>
      <c r="J171">
        <f t="shared" si="10"/>
        <v>4</v>
      </c>
      <c r="K171">
        <f t="shared" si="11"/>
        <v>107.85</v>
      </c>
    </row>
    <row r="172" spans="1:11" x14ac:dyDescent="0.35">
      <c r="A172" s="12" t="s">
        <v>279</v>
      </c>
      <c r="B172" s="13">
        <v>5</v>
      </c>
      <c r="C172" s="1">
        <v>45945.343009259261</v>
      </c>
      <c r="D172" s="13">
        <v>122.91</v>
      </c>
      <c r="H172" t="str">
        <f t="shared" si="8"/>
        <v>CUST0177</v>
      </c>
      <c r="I172" s="16">
        <f t="shared" ca="1" si="9"/>
        <v>84.656990740739275</v>
      </c>
      <c r="J172">
        <f t="shared" si="10"/>
        <v>5</v>
      </c>
      <c r="K172">
        <f t="shared" si="11"/>
        <v>122.91</v>
      </c>
    </row>
    <row r="173" spans="1:11" x14ac:dyDescent="0.35">
      <c r="A173" s="12" t="s">
        <v>12</v>
      </c>
      <c r="B173" s="13">
        <v>5</v>
      </c>
      <c r="C173" s="1">
        <v>45866.343009259261</v>
      </c>
      <c r="D173" s="13">
        <v>114.12</v>
      </c>
      <c r="H173" t="str">
        <f t="shared" si="8"/>
        <v>CUST0178</v>
      </c>
      <c r="I173" s="16">
        <f t="shared" ca="1" si="9"/>
        <v>163.65699074073927</v>
      </c>
      <c r="J173">
        <f t="shared" si="10"/>
        <v>5</v>
      </c>
      <c r="K173">
        <f t="shared" si="11"/>
        <v>114.12</v>
      </c>
    </row>
    <row r="174" spans="1:11" x14ac:dyDescent="0.35">
      <c r="A174" s="12" t="s">
        <v>100</v>
      </c>
      <c r="B174" s="13">
        <v>5</v>
      </c>
      <c r="C174" s="1">
        <v>45924.343009259261</v>
      </c>
      <c r="D174" s="13">
        <v>55.540000000000006</v>
      </c>
      <c r="H174" t="str">
        <f t="shared" si="8"/>
        <v>CUST0179</v>
      </c>
      <c r="I174" s="16">
        <f t="shared" ca="1" si="9"/>
        <v>105.65699074073927</v>
      </c>
      <c r="J174">
        <f t="shared" si="10"/>
        <v>5</v>
      </c>
      <c r="K174">
        <f t="shared" si="11"/>
        <v>55.540000000000006</v>
      </c>
    </row>
    <row r="175" spans="1:11" x14ac:dyDescent="0.35">
      <c r="A175" s="12" t="s">
        <v>275</v>
      </c>
      <c r="B175" s="13">
        <v>1</v>
      </c>
      <c r="C175" s="1">
        <v>45631.343009259261</v>
      </c>
      <c r="D175" s="13">
        <v>12.12</v>
      </c>
      <c r="H175" t="str">
        <f t="shared" si="8"/>
        <v>CUST0180</v>
      </c>
      <c r="I175" s="16">
        <f t="shared" ca="1" si="9"/>
        <v>398.65699074073927</v>
      </c>
      <c r="J175">
        <f t="shared" si="10"/>
        <v>1</v>
      </c>
      <c r="K175">
        <f t="shared" si="11"/>
        <v>12.12</v>
      </c>
    </row>
    <row r="176" spans="1:11" x14ac:dyDescent="0.35">
      <c r="A176" s="12" t="s">
        <v>502</v>
      </c>
      <c r="B176" s="13">
        <v>4</v>
      </c>
      <c r="C176" s="1">
        <v>45778.343009259261</v>
      </c>
      <c r="D176" s="13">
        <v>34.24</v>
      </c>
      <c r="H176" t="str">
        <f t="shared" si="8"/>
        <v>CUST0181</v>
      </c>
      <c r="I176" s="16">
        <f t="shared" ca="1" si="9"/>
        <v>251.65699074073927</v>
      </c>
      <c r="J176">
        <f t="shared" si="10"/>
        <v>4</v>
      </c>
      <c r="K176">
        <f t="shared" si="11"/>
        <v>34.24</v>
      </c>
    </row>
    <row r="177" spans="1:11" x14ac:dyDescent="0.35">
      <c r="A177" s="12" t="s">
        <v>238</v>
      </c>
      <c r="B177" s="13">
        <v>3</v>
      </c>
      <c r="C177" s="1">
        <v>45852.343009259261</v>
      </c>
      <c r="D177" s="13">
        <v>33.46</v>
      </c>
      <c r="H177" t="str">
        <f t="shared" si="8"/>
        <v>CUST0182</v>
      </c>
      <c r="I177" s="16">
        <f t="shared" ca="1" si="9"/>
        <v>177.65699074073927</v>
      </c>
      <c r="J177">
        <f t="shared" si="10"/>
        <v>3</v>
      </c>
      <c r="K177">
        <f t="shared" si="11"/>
        <v>33.46</v>
      </c>
    </row>
    <row r="178" spans="1:11" x14ac:dyDescent="0.35">
      <c r="A178" s="12" t="s">
        <v>618</v>
      </c>
      <c r="B178" s="13">
        <v>2</v>
      </c>
      <c r="C178" s="1">
        <v>45881.343009259261</v>
      </c>
      <c r="D178" s="13">
        <v>76.81</v>
      </c>
      <c r="H178" t="str">
        <f t="shared" si="8"/>
        <v>CUST0183</v>
      </c>
      <c r="I178" s="16">
        <f t="shared" ca="1" si="9"/>
        <v>148.65699074073927</v>
      </c>
      <c r="J178">
        <f t="shared" si="10"/>
        <v>2</v>
      </c>
      <c r="K178">
        <f t="shared" si="11"/>
        <v>76.81</v>
      </c>
    </row>
    <row r="179" spans="1:11" x14ac:dyDescent="0.35">
      <c r="A179" s="12" t="s">
        <v>163</v>
      </c>
      <c r="B179" s="13">
        <v>2</v>
      </c>
      <c r="C179" s="1">
        <v>45808.343009259261</v>
      </c>
      <c r="D179" s="13">
        <v>9.69</v>
      </c>
      <c r="H179" t="str">
        <f t="shared" si="8"/>
        <v>CUST0184</v>
      </c>
      <c r="I179" s="16">
        <f t="shared" ca="1" si="9"/>
        <v>221.65699074073927</v>
      </c>
      <c r="J179">
        <f t="shared" si="10"/>
        <v>2</v>
      </c>
      <c r="K179">
        <f t="shared" si="11"/>
        <v>9.69</v>
      </c>
    </row>
    <row r="180" spans="1:11" x14ac:dyDescent="0.35">
      <c r="A180" s="12" t="s">
        <v>645</v>
      </c>
      <c r="B180" s="13">
        <v>2</v>
      </c>
      <c r="C180" s="1">
        <v>45947.343009259261</v>
      </c>
      <c r="D180" s="13">
        <v>32.299999999999997</v>
      </c>
      <c r="H180" t="str">
        <f t="shared" si="8"/>
        <v>CUST0185</v>
      </c>
      <c r="I180" s="16">
        <f t="shared" ca="1" si="9"/>
        <v>82.656990740739275</v>
      </c>
      <c r="J180">
        <f t="shared" si="10"/>
        <v>2</v>
      </c>
      <c r="K180">
        <f t="shared" si="11"/>
        <v>32.299999999999997</v>
      </c>
    </row>
    <row r="181" spans="1:11" x14ac:dyDescent="0.35">
      <c r="A181" s="12" t="s">
        <v>752</v>
      </c>
      <c r="B181" s="13">
        <v>2</v>
      </c>
      <c r="C181" s="1">
        <v>45760.343009259261</v>
      </c>
      <c r="D181" s="13">
        <v>17.36</v>
      </c>
      <c r="H181" t="str">
        <f t="shared" si="8"/>
        <v>CUST0186</v>
      </c>
      <c r="I181" s="16">
        <f t="shared" ca="1" si="9"/>
        <v>269.65699074073927</v>
      </c>
      <c r="J181">
        <f t="shared" si="10"/>
        <v>2</v>
      </c>
      <c r="K181">
        <f t="shared" si="11"/>
        <v>17.36</v>
      </c>
    </row>
    <row r="182" spans="1:11" x14ac:dyDescent="0.35">
      <c r="A182" s="12" t="s">
        <v>514</v>
      </c>
      <c r="B182" s="13">
        <v>2</v>
      </c>
      <c r="C182" s="1">
        <v>45833.343009259261</v>
      </c>
      <c r="D182" s="13">
        <v>33.97</v>
      </c>
      <c r="H182" t="str">
        <f t="shared" si="8"/>
        <v>CUST0187</v>
      </c>
      <c r="I182" s="16">
        <f t="shared" ca="1" si="9"/>
        <v>196.65699074073927</v>
      </c>
      <c r="J182">
        <f t="shared" si="10"/>
        <v>2</v>
      </c>
      <c r="K182">
        <f t="shared" si="11"/>
        <v>33.97</v>
      </c>
    </row>
    <row r="183" spans="1:11" x14ac:dyDescent="0.35">
      <c r="A183" s="12" t="s">
        <v>396</v>
      </c>
      <c r="B183" s="13">
        <v>5</v>
      </c>
      <c r="C183" s="1">
        <v>45920.343009259261</v>
      </c>
      <c r="D183" s="13">
        <v>60.47</v>
      </c>
      <c r="H183" t="str">
        <f t="shared" si="8"/>
        <v>CUST0188</v>
      </c>
      <c r="I183" s="16">
        <f t="shared" ca="1" si="9"/>
        <v>109.65699074073927</v>
      </c>
      <c r="J183">
        <f t="shared" si="10"/>
        <v>5</v>
      </c>
      <c r="K183">
        <f t="shared" si="11"/>
        <v>60.47</v>
      </c>
    </row>
    <row r="184" spans="1:11" x14ac:dyDescent="0.35">
      <c r="A184" s="12" t="s">
        <v>296</v>
      </c>
      <c r="B184" s="13">
        <v>1</v>
      </c>
      <c r="C184" s="1">
        <v>45703.343009259261</v>
      </c>
      <c r="D184" s="13">
        <v>17.079999999999998</v>
      </c>
      <c r="H184" t="str">
        <f t="shared" si="8"/>
        <v>CUST0189</v>
      </c>
      <c r="I184" s="16">
        <f t="shared" ca="1" si="9"/>
        <v>326.65699074073927</v>
      </c>
      <c r="J184">
        <f t="shared" si="10"/>
        <v>1</v>
      </c>
      <c r="K184">
        <f t="shared" si="11"/>
        <v>17.079999999999998</v>
      </c>
    </row>
    <row r="185" spans="1:11" x14ac:dyDescent="0.35">
      <c r="A185" s="12" t="s">
        <v>491</v>
      </c>
      <c r="B185" s="13">
        <v>1</v>
      </c>
      <c r="C185" s="1">
        <v>45789.343009259261</v>
      </c>
      <c r="D185" s="13">
        <v>33.44</v>
      </c>
      <c r="H185" t="str">
        <f t="shared" si="8"/>
        <v>CUST0190</v>
      </c>
      <c r="I185" s="16">
        <f t="shared" ca="1" si="9"/>
        <v>240.65699074073927</v>
      </c>
      <c r="J185">
        <f t="shared" si="10"/>
        <v>1</v>
      </c>
      <c r="K185">
        <f t="shared" si="11"/>
        <v>33.44</v>
      </c>
    </row>
    <row r="186" spans="1:11" x14ac:dyDescent="0.35">
      <c r="A186" s="12" t="s">
        <v>774</v>
      </c>
      <c r="B186" s="13">
        <v>1</v>
      </c>
      <c r="C186" s="1">
        <v>45897.343009259261</v>
      </c>
      <c r="D186" s="13">
        <v>16.14</v>
      </c>
      <c r="H186" t="str">
        <f t="shared" si="8"/>
        <v>CUST0191</v>
      </c>
      <c r="I186" s="16">
        <f t="shared" ca="1" si="9"/>
        <v>132.65699074073927</v>
      </c>
      <c r="J186">
        <f t="shared" si="10"/>
        <v>1</v>
      </c>
      <c r="K186">
        <f t="shared" si="11"/>
        <v>16.14</v>
      </c>
    </row>
    <row r="187" spans="1:11" x14ac:dyDescent="0.35">
      <c r="A187" s="12" t="s">
        <v>823</v>
      </c>
      <c r="B187" s="13">
        <v>3</v>
      </c>
      <c r="C187" s="1">
        <v>45914.343009259261</v>
      </c>
      <c r="D187" s="13">
        <v>33.65</v>
      </c>
      <c r="H187" t="str">
        <f t="shared" si="8"/>
        <v>CUST0192</v>
      </c>
      <c r="I187" s="16">
        <f t="shared" ca="1" si="9"/>
        <v>115.65699074073927</v>
      </c>
      <c r="J187">
        <f t="shared" si="10"/>
        <v>3</v>
      </c>
      <c r="K187">
        <f t="shared" si="11"/>
        <v>33.65</v>
      </c>
    </row>
    <row r="188" spans="1:11" x14ac:dyDescent="0.35">
      <c r="A188" s="12" t="s">
        <v>500</v>
      </c>
      <c r="B188" s="13">
        <v>4</v>
      </c>
      <c r="C188" s="1">
        <v>45828.343009259261</v>
      </c>
      <c r="D188" s="13">
        <v>58.100000000000009</v>
      </c>
      <c r="H188" t="str">
        <f t="shared" si="8"/>
        <v>CUST0193</v>
      </c>
      <c r="I188" s="16">
        <f t="shared" ca="1" si="9"/>
        <v>201.65699074073927</v>
      </c>
      <c r="J188">
        <f t="shared" si="10"/>
        <v>4</v>
      </c>
      <c r="K188">
        <f t="shared" si="11"/>
        <v>58.100000000000009</v>
      </c>
    </row>
    <row r="189" spans="1:11" x14ac:dyDescent="0.35">
      <c r="A189" s="12" t="s">
        <v>323</v>
      </c>
      <c r="B189" s="13">
        <v>2</v>
      </c>
      <c r="C189" s="1">
        <v>45738.343009259261</v>
      </c>
      <c r="D189" s="13">
        <v>19.810000000000002</v>
      </c>
      <c r="H189" t="str">
        <f t="shared" si="8"/>
        <v>CUST0194</v>
      </c>
      <c r="I189" s="16">
        <f t="shared" ca="1" si="9"/>
        <v>291.65699074073927</v>
      </c>
      <c r="J189">
        <f t="shared" si="10"/>
        <v>2</v>
      </c>
      <c r="K189">
        <f t="shared" si="11"/>
        <v>19.810000000000002</v>
      </c>
    </row>
    <row r="190" spans="1:11" x14ac:dyDescent="0.35">
      <c r="A190" s="12" t="s">
        <v>407</v>
      </c>
      <c r="B190" s="13">
        <v>4</v>
      </c>
      <c r="C190" s="1">
        <v>45952.343009259261</v>
      </c>
      <c r="D190" s="13">
        <v>52.35</v>
      </c>
      <c r="H190" t="str">
        <f t="shared" si="8"/>
        <v>CUST0195</v>
      </c>
      <c r="I190" s="16">
        <f t="shared" ca="1" si="9"/>
        <v>77.656990740739275</v>
      </c>
      <c r="J190">
        <f t="shared" si="10"/>
        <v>4</v>
      </c>
      <c r="K190">
        <f t="shared" si="11"/>
        <v>52.35</v>
      </c>
    </row>
    <row r="191" spans="1:11" x14ac:dyDescent="0.35">
      <c r="A191" s="12" t="s">
        <v>145</v>
      </c>
      <c r="B191" s="13">
        <v>2</v>
      </c>
      <c r="C191" s="1">
        <v>45812.343009259261</v>
      </c>
      <c r="D191" s="13">
        <v>23.36</v>
      </c>
      <c r="H191" t="str">
        <f t="shared" si="8"/>
        <v>CUST0196</v>
      </c>
      <c r="I191" s="16">
        <f t="shared" ca="1" si="9"/>
        <v>217.65699074073927</v>
      </c>
      <c r="J191">
        <f t="shared" si="10"/>
        <v>2</v>
      </c>
      <c r="K191">
        <f t="shared" si="11"/>
        <v>23.36</v>
      </c>
    </row>
    <row r="192" spans="1:11" x14ac:dyDescent="0.35">
      <c r="A192" s="12" t="s">
        <v>402</v>
      </c>
      <c r="B192" s="13">
        <v>1</v>
      </c>
      <c r="C192" s="1">
        <v>45835.343009259261</v>
      </c>
      <c r="D192" s="13">
        <v>4.26</v>
      </c>
      <c r="H192" t="str">
        <f t="shared" si="8"/>
        <v>CUST0197</v>
      </c>
      <c r="I192" s="16">
        <f t="shared" ca="1" si="9"/>
        <v>194.65699074073927</v>
      </c>
      <c r="J192">
        <f t="shared" si="10"/>
        <v>1</v>
      </c>
      <c r="K192">
        <f t="shared" si="11"/>
        <v>4.26</v>
      </c>
    </row>
    <row r="193" spans="1:11" x14ac:dyDescent="0.35">
      <c r="A193" s="12" t="s">
        <v>120</v>
      </c>
      <c r="B193" s="13">
        <v>5</v>
      </c>
      <c r="C193" s="1">
        <v>45918.343009259261</v>
      </c>
      <c r="D193" s="13">
        <v>61.879999999999995</v>
      </c>
      <c r="H193" t="str">
        <f t="shared" si="8"/>
        <v>CUST0198</v>
      </c>
      <c r="I193" s="16">
        <f t="shared" ca="1" si="9"/>
        <v>111.65699074073927</v>
      </c>
      <c r="J193">
        <f t="shared" si="10"/>
        <v>5</v>
      </c>
      <c r="K193">
        <f t="shared" si="11"/>
        <v>61.879999999999995</v>
      </c>
    </row>
    <row r="194" spans="1:11" x14ac:dyDescent="0.35">
      <c r="A194" s="12" t="s">
        <v>592</v>
      </c>
      <c r="B194" s="13">
        <v>4</v>
      </c>
      <c r="C194" s="1">
        <v>45907.343009259261</v>
      </c>
      <c r="D194" s="13">
        <v>41.640000000000008</v>
      </c>
      <c r="H194" t="str">
        <f t="shared" si="8"/>
        <v>CUST0199</v>
      </c>
      <c r="I194" s="16">
        <f t="shared" ca="1" si="9"/>
        <v>122.65699074073927</v>
      </c>
      <c r="J194">
        <f t="shared" si="10"/>
        <v>4</v>
      </c>
      <c r="K194">
        <f t="shared" si="11"/>
        <v>41.640000000000008</v>
      </c>
    </row>
    <row r="195" spans="1:11" x14ac:dyDescent="0.35">
      <c r="A195" s="12" t="s">
        <v>197</v>
      </c>
      <c r="B195" s="13">
        <v>2</v>
      </c>
      <c r="C195" s="1">
        <v>45955.343009259261</v>
      </c>
      <c r="D195" s="13">
        <v>45.68</v>
      </c>
      <c r="H195" t="str">
        <f t="shared" si="8"/>
        <v>CUST0200</v>
      </c>
      <c r="I195" s="16">
        <f t="shared" ca="1" si="9"/>
        <v>74.656990740739275</v>
      </c>
      <c r="J195">
        <f t="shared" si="10"/>
        <v>2</v>
      </c>
      <c r="K195">
        <f t="shared" si="11"/>
        <v>45.68</v>
      </c>
    </row>
    <row r="196" spans="1:11" x14ac:dyDescent="0.35">
      <c r="A196" s="12" t="s">
        <v>446</v>
      </c>
      <c r="B196" s="13">
        <v>3</v>
      </c>
      <c r="C196" s="1">
        <v>45941.343009259261</v>
      </c>
      <c r="D196" s="13">
        <v>26.67</v>
      </c>
      <c r="H196" t="str">
        <f t="shared" si="8"/>
        <v>CUST0201</v>
      </c>
      <c r="I196" s="16">
        <f t="shared" ca="1" si="9"/>
        <v>88.656990740739275</v>
      </c>
      <c r="J196">
        <f t="shared" si="10"/>
        <v>3</v>
      </c>
      <c r="K196">
        <f t="shared" si="11"/>
        <v>26.67</v>
      </c>
    </row>
    <row r="197" spans="1:11" x14ac:dyDescent="0.35">
      <c r="A197" s="12" t="s">
        <v>246</v>
      </c>
      <c r="B197" s="13">
        <v>5</v>
      </c>
      <c r="C197" s="1">
        <v>45947.343009259261</v>
      </c>
      <c r="D197" s="13">
        <v>85.24</v>
      </c>
      <c r="H197" t="str">
        <f t="shared" ref="H197:H260" si="12">A197</f>
        <v>CUST0202</v>
      </c>
      <c r="I197" s="16">
        <f t="shared" ref="I197:I260" ca="1" si="13">$F$3-C197</f>
        <v>82.656990740739275</v>
      </c>
      <c r="J197">
        <f t="shared" ref="J197:J260" si="14">B197</f>
        <v>5</v>
      </c>
      <c r="K197">
        <f t="shared" ref="K197:K260" si="15">D197</f>
        <v>85.24</v>
      </c>
    </row>
    <row r="198" spans="1:11" x14ac:dyDescent="0.35">
      <c r="A198" s="12" t="s">
        <v>1218</v>
      </c>
      <c r="B198" s="13">
        <v>1</v>
      </c>
      <c r="C198" s="1">
        <v>45704.343009259261</v>
      </c>
      <c r="D198" s="13">
        <v>8.8000000000000007</v>
      </c>
      <c r="H198" t="str">
        <f t="shared" si="12"/>
        <v>CUST0203</v>
      </c>
      <c r="I198" s="16">
        <f t="shared" ca="1" si="13"/>
        <v>325.65699074073927</v>
      </c>
      <c r="J198">
        <f t="shared" si="14"/>
        <v>1</v>
      </c>
      <c r="K198">
        <f t="shared" si="15"/>
        <v>8.8000000000000007</v>
      </c>
    </row>
    <row r="199" spans="1:11" x14ac:dyDescent="0.35">
      <c r="A199" s="12" t="s">
        <v>836</v>
      </c>
      <c r="B199" s="13">
        <v>3</v>
      </c>
      <c r="C199" s="1">
        <v>45943.343009259261</v>
      </c>
      <c r="D199" s="13">
        <v>20.82</v>
      </c>
      <c r="H199" t="str">
        <f t="shared" si="12"/>
        <v>CUST0204</v>
      </c>
      <c r="I199" s="16">
        <f t="shared" ca="1" si="13"/>
        <v>86.656990740739275</v>
      </c>
      <c r="J199">
        <f t="shared" si="14"/>
        <v>3</v>
      </c>
      <c r="K199">
        <f t="shared" si="15"/>
        <v>20.82</v>
      </c>
    </row>
    <row r="200" spans="1:11" x14ac:dyDescent="0.35">
      <c r="A200" s="12" t="s">
        <v>918</v>
      </c>
      <c r="B200" s="13">
        <v>1</v>
      </c>
      <c r="C200" s="1">
        <v>45837.343009259261</v>
      </c>
      <c r="D200" s="13">
        <v>5.19</v>
      </c>
      <c r="H200" t="str">
        <f t="shared" si="12"/>
        <v>CUST0205</v>
      </c>
      <c r="I200" s="16">
        <f t="shared" ca="1" si="13"/>
        <v>192.65699074073927</v>
      </c>
      <c r="J200">
        <f t="shared" si="14"/>
        <v>1</v>
      </c>
      <c r="K200">
        <f t="shared" si="15"/>
        <v>5.19</v>
      </c>
    </row>
    <row r="201" spans="1:11" x14ac:dyDescent="0.35">
      <c r="A201" s="12" t="s">
        <v>793</v>
      </c>
      <c r="B201" s="13">
        <v>3</v>
      </c>
      <c r="C201" s="1">
        <v>45777.343009259261</v>
      </c>
      <c r="D201" s="13">
        <v>63.080000000000005</v>
      </c>
      <c r="H201" t="str">
        <f t="shared" si="12"/>
        <v>CUST0206</v>
      </c>
      <c r="I201" s="16">
        <f t="shared" ca="1" si="13"/>
        <v>252.65699074073927</v>
      </c>
      <c r="J201">
        <f t="shared" si="14"/>
        <v>3</v>
      </c>
      <c r="K201">
        <f t="shared" si="15"/>
        <v>63.080000000000005</v>
      </c>
    </row>
    <row r="202" spans="1:11" x14ac:dyDescent="0.35">
      <c r="A202" s="12" t="s">
        <v>1012</v>
      </c>
      <c r="B202" s="13">
        <v>2</v>
      </c>
      <c r="C202" s="1">
        <v>45936.343009259261</v>
      </c>
      <c r="D202" s="13">
        <v>22.57</v>
      </c>
      <c r="H202" t="str">
        <f t="shared" si="12"/>
        <v>CUST0207</v>
      </c>
      <c r="I202" s="16">
        <f t="shared" ca="1" si="13"/>
        <v>93.656990740739275</v>
      </c>
      <c r="J202">
        <f t="shared" si="14"/>
        <v>2</v>
      </c>
      <c r="K202">
        <f t="shared" si="15"/>
        <v>22.57</v>
      </c>
    </row>
    <row r="203" spans="1:11" x14ac:dyDescent="0.35">
      <c r="A203" s="12" t="s">
        <v>885</v>
      </c>
      <c r="B203" s="13">
        <v>3</v>
      </c>
      <c r="C203" s="1">
        <v>45815.343009259261</v>
      </c>
      <c r="D203" s="13">
        <v>61.43</v>
      </c>
      <c r="H203" t="str">
        <f t="shared" si="12"/>
        <v>CUST0208</v>
      </c>
      <c r="I203" s="16">
        <f t="shared" ca="1" si="13"/>
        <v>214.65699074073927</v>
      </c>
      <c r="J203">
        <f t="shared" si="14"/>
        <v>3</v>
      </c>
      <c r="K203">
        <f t="shared" si="15"/>
        <v>61.43</v>
      </c>
    </row>
    <row r="204" spans="1:11" x14ac:dyDescent="0.35">
      <c r="A204" s="12" t="s">
        <v>434</v>
      </c>
      <c r="B204" s="13">
        <v>3</v>
      </c>
      <c r="C204" s="1">
        <v>45815.343009259261</v>
      </c>
      <c r="D204" s="13">
        <v>41</v>
      </c>
      <c r="H204" t="str">
        <f t="shared" si="12"/>
        <v>CUST0209</v>
      </c>
      <c r="I204" s="16">
        <f t="shared" ca="1" si="13"/>
        <v>214.65699074073927</v>
      </c>
      <c r="J204">
        <f t="shared" si="14"/>
        <v>3</v>
      </c>
      <c r="K204">
        <f t="shared" si="15"/>
        <v>41</v>
      </c>
    </row>
    <row r="205" spans="1:11" x14ac:dyDescent="0.35">
      <c r="A205" s="12" t="s">
        <v>205</v>
      </c>
      <c r="B205" s="13">
        <v>4</v>
      </c>
      <c r="C205" s="1">
        <v>45782.343009259261</v>
      </c>
      <c r="D205" s="13">
        <v>47.959999999999994</v>
      </c>
      <c r="H205" t="str">
        <f t="shared" si="12"/>
        <v>CUST0210</v>
      </c>
      <c r="I205" s="16">
        <f t="shared" ca="1" si="13"/>
        <v>247.65699074073927</v>
      </c>
      <c r="J205">
        <f t="shared" si="14"/>
        <v>4</v>
      </c>
      <c r="K205">
        <f t="shared" si="15"/>
        <v>47.959999999999994</v>
      </c>
    </row>
    <row r="206" spans="1:11" x14ac:dyDescent="0.35">
      <c r="A206" s="12" t="s">
        <v>305</v>
      </c>
      <c r="B206" s="13">
        <v>2</v>
      </c>
      <c r="C206" s="1">
        <v>45943.343009259261</v>
      </c>
      <c r="D206" s="13">
        <v>21.21</v>
      </c>
      <c r="H206" t="str">
        <f t="shared" si="12"/>
        <v>CUST0211</v>
      </c>
      <c r="I206" s="16">
        <f t="shared" ca="1" si="13"/>
        <v>86.656990740739275</v>
      </c>
      <c r="J206">
        <f t="shared" si="14"/>
        <v>2</v>
      </c>
      <c r="K206">
        <f t="shared" si="15"/>
        <v>21.21</v>
      </c>
    </row>
    <row r="207" spans="1:11" x14ac:dyDescent="0.35">
      <c r="A207" s="12" t="s">
        <v>72</v>
      </c>
      <c r="B207" s="13">
        <v>3</v>
      </c>
      <c r="C207" s="1">
        <v>45960.343009259261</v>
      </c>
      <c r="D207" s="13">
        <v>40.739999999999995</v>
      </c>
      <c r="H207" t="str">
        <f t="shared" si="12"/>
        <v>CUST0213</v>
      </c>
      <c r="I207" s="16">
        <f t="shared" ca="1" si="13"/>
        <v>69.656990740739275</v>
      </c>
      <c r="J207">
        <f t="shared" si="14"/>
        <v>3</v>
      </c>
      <c r="K207">
        <f t="shared" si="15"/>
        <v>40.739999999999995</v>
      </c>
    </row>
    <row r="208" spans="1:11" x14ac:dyDescent="0.35">
      <c r="A208" s="12" t="s">
        <v>230</v>
      </c>
      <c r="B208" s="13">
        <v>4</v>
      </c>
      <c r="C208" s="1">
        <v>45824.343009259261</v>
      </c>
      <c r="D208" s="13">
        <v>29.38</v>
      </c>
      <c r="H208" t="str">
        <f t="shared" si="12"/>
        <v>CUST0214</v>
      </c>
      <c r="I208" s="16">
        <f t="shared" ca="1" si="13"/>
        <v>205.65699074073927</v>
      </c>
      <c r="J208">
        <f t="shared" si="14"/>
        <v>4</v>
      </c>
      <c r="K208">
        <f t="shared" si="15"/>
        <v>29.38</v>
      </c>
    </row>
    <row r="209" spans="1:11" x14ac:dyDescent="0.35">
      <c r="A209" s="12" t="s">
        <v>303</v>
      </c>
      <c r="B209" s="13">
        <v>6</v>
      </c>
      <c r="C209" s="1">
        <v>45787.343009259261</v>
      </c>
      <c r="D209" s="13">
        <v>123.08</v>
      </c>
      <c r="H209" t="str">
        <f t="shared" si="12"/>
        <v>CUST0215</v>
      </c>
      <c r="I209" s="16">
        <f t="shared" ca="1" si="13"/>
        <v>242.65699074073927</v>
      </c>
      <c r="J209">
        <f t="shared" si="14"/>
        <v>6</v>
      </c>
      <c r="K209">
        <f t="shared" si="15"/>
        <v>123.08</v>
      </c>
    </row>
    <row r="210" spans="1:11" x14ac:dyDescent="0.35">
      <c r="A210" s="12" t="s">
        <v>161</v>
      </c>
      <c r="B210" s="13">
        <v>5</v>
      </c>
      <c r="C210" s="1">
        <v>45891.343009259261</v>
      </c>
      <c r="D210" s="13">
        <v>158.79999999999998</v>
      </c>
      <c r="H210" t="str">
        <f t="shared" si="12"/>
        <v>CUST0216</v>
      </c>
      <c r="I210" s="16">
        <f t="shared" ca="1" si="13"/>
        <v>138.65699074073927</v>
      </c>
      <c r="J210">
        <f t="shared" si="14"/>
        <v>5</v>
      </c>
      <c r="K210">
        <f t="shared" si="15"/>
        <v>158.79999999999998</v>
      </c>
    </row>
    <row r="211" spans="1:11" x14ac:dyDescent="0.35">
      <c r="A211" s="12" t="s">
        <v>544</v>
      </c>
      <c r="B211" s="13">
        <v>3</v>
      </c>
      <c r="C211" s="1">
        <v>45876.343009259261</v>
      </c>
      <c r="D211" s="13">
        <v>33.950000000000003</v>
      </c>
      <c r="H211" t="str">
        <f t="shared" si="12"/>
        <v>CUST0217</v>
      </c>
      <c r="I211" s="16">
        <f t="shared" ca="1" si="13"/>
        <v>153.65699074073927</v>
      </c>
      <c r="J211">
        <f t="shared" si="14"/>
        <v>3</v>
      </c>
      <c r="K211">
        <f t="shared" si="15"/>
        <v>33.950000000000003</v>
      </c>
    </row>
    <row r="212" spans="1:11" x14ac:dyDescent="0.35">
      <c r="A212" s="12" t="s">
        <v>200</v>
      </c>
      <c r="B212" s="13">
        <v>3</v>
      </c>
      <c r="C212" s="1">
        <v>45941.343009259261</v>
      </c>
      <c r="D212" s="13">
        <v>59.46</v>
      </c>
      <c r="H212" t="str">
        <f t="shared" si="12"/>
        <v>CUST0218</v>
      </c>
      <c r="I212" s="16">
        <f t="shared" ca="1" si="13"/>
        <v>88.656990740739275</v>
      </c>
      <c r="J212">
        <f t="shared" si="14"/>
        <v>3</v>
      </c>
      <c r="K212">
        <f t="shared" si="15"/>
        <v>59.46</v>
      </c>
    </row>
    <row r="213" spans="1:11" x14ac:dyDescent="0.35">
      <c r="A213" s="12" t="s">
        <v>483</v>
      </c>
      <c r="B213" s="13">
        <v>2</v>
      </c>
      <c r="C213" s="1">
        <v>45956.343009259261</v>
      </c>
      <c r="D213" s="13">
        <v>47.76</v>
      </c>
      <c r="H213" t="str">
        <f t="shared" si="12"/>
        <v>CUST0219</v>
      </c>
      <c r="I213" s="16">
        <f t="shared" ca="1" si="13"/>
        <v>73.656990740739275</v>
      </c>
      <c r="J213">
        <f t="shared" si="14"/>
        <v>2</v>
      </c>
      <c r="K213">
        <f t="shared" si="15"/>
        <v>47.76</v>
      </c>
    </row>
    <row r="214" spans="1:11" x14ac:dyDescent="0.35">
      <c r="A214" s="12" t="s">
        <v>1019</v>
      </c>
      <c r="B214" s="13">
        <v>3</v>
      </c>
      <c r="C214" s="1">
        <v>45878.343009259261</v>
      </c>
      <c r="D214" s="13">
        <v>73.260000000000005</v>
      </c>
      <c r="H214" t="str">
        <f t="shared" si="12"/>
        <v>CUST0220</v>
      </c>
      <c r="I214" s="16">
        <f t="shared" ca="1" si="13"/>
        <v>151.65699074073927</v>
      </c>
      <c r="J214">
        <f t="shared" si="14"/>
        <v>3</v>
      </c>
      <c r="K214">
        <f t="shared" si="15"/>
        <v>73.260000000000005</v>
      </c>
    </row>
    <row r="215" spans="1:11" x14ac:dyDescent="0.35">
      <c r="A215" s="12" t="s">
        <v>995</v>
      </c>
      <c r="B215" s="13">
        <v>2</v>
      </c>
      <c r="C215" s="1">
        <v>45623.343009259261</v>
      </c>
      <c r="D215" s="13">
        <v>30.95</v>
      </c>
      <c r="H215" t="str">
        <f t="shared" si="12"/>
        <v>CUST0221</v>
      </c>
      <c r="I215" s="16">
        <f t="shared" ca="1" si="13"/>
        <v>406.65699074073927</v>
      </c>
      <c r="J215">
        <f t="shared" si="14"/>
        <v>2</v>
      </c>
      <c r="K215">
        <f t="shared" si="15"/>
        <v>30.95</v>
      </c>
    </row>
    <row r="216" spans="1:11" x14ac:dyDescent="0.35">
      <c r="A216" s="12" t="s">
        <v>329</v>
      </c>
      <c r="B216" s="13">
        <v>4</v>
      </c>
      <c r="C216" s="1">
        <v>45959.343009259261</v>
      </c>
      <c r="D216" s="13">
        <v>30.69</v>
      </c>
      <c r="H216" t="str">
        <f t="shared" si="12"/>
        <v>CUST0222</v>
      </c>
      <c r="I216" s="16">
        <f t="shared" ca="1" si="13"/>
        <v>70.656990740739275</v>
      </c>
      <c r="J216">
        <f t="shared" si="14"/>
        <v>4</v>
      </c>
      <c r="K216">
        <f t="shared" si="15"/>
        <v>30.69</v>
      </c>
    </row>
    <row r="217" spans="1:11" x14ac:dyDescent="0.35">
      <c r="A217" s="12" t="s">
        <v>378</v>
      </c>
      <c r="B217" s="13">
        <v>5</v>
      </c>
      <c r="C217" s="1">
        <v>45908.343009259261</v>
      </c>
      <c r="D217" s="13">
        <v>61.239999999999995</v>
      </c>
      <c r="H217" t="str">
        <f t="shared" si="12"/>
        <v>CUST0223</v>
      </c>
      <c r="I217" s="16">
        <f t="shared" ca="1" si="13"/>
        <v>121.65699074073927</v>
      </c>
      <c r="J217">
        <f t="shared" si="14"/>
        <v>5</v>
      </c>
      <c r="K217">
        <f t="shared" si="15"/>
        <v>61.239999999999995</v>
      </c>
    </row>
    <row r="218" spans="1:11" x14ac:dyDescent="0.35">
      <c r="A218" s="12" t="s">
        <v>300</v>
      </c>
      <c r="B218" s="13">
        <v>6</v>
      </c>
      <c r="C218" s="1">
        <v>45955.343009259261</v>
      </c>
      <c r="D218" s="13">
        <v>116.16</v>
      </c>
      <c r="H218" t="str">
        <f t="shared" si="12"/>
        <v>CUST0224</v>
      </c>
      <c r="I218" s="16">
        <f t="shared" ca="1" si="13"/>
        <v>74.656990740739275</v>
      </c>
      <c r="J218">
        <f t="shared" si="14"/>
        <v>6</v>
      </c>
      <c r="K218">
        <f t="shared" si="15"/>
        <v>116.16</v>
      </c>
    </row>
    <row r="219" spans="1:11" x14ac:dyDescent="0.35">
      <c r="A219" s="12" t="s">
        <v>114</v>
      </c>
      <c r="B219" s="13">
        <v>3</v>
      </c>
      <c r="C219" s="1">
        <v>45860.343009259261</v>
      </c>
      <c r="D219" s="13">
        <v>24.72</v>
      </c>
      <c r="H219" t="str">
        <f t="shared" si="12"/>
        <v>CUST0225</v>
      </c>
      <c r="I219" s="16">
        <f t="shared" ca="1" si="13"/>
        <v>169.65699074073927</v>
      </c>
      <c r="J219">
        <f t="shared" si="14"/>
        <v>3</v>
      </c>
      <c r="K219">
        <f t="shared" si="15"/>
        <v>24.72</v>
      </c>
    </row>
    <row r="220" spans="1:11" x14ac:dyDescent="0.35">
      <c r="A220" s="12" t="s">
        <v>418</v>
      </c>
      <c r="B220" s="13">
        <v>7</v>
      </c>
      <c r="C220" s="1">
        <v>45941.343009259261</v>
      </c>
      <c r="D220" s="13">
        <v>108.13000000000001</v>
      </c>
      <c r="H220" t="str">
        <f t="shared" si="12"/>
        <v>CUST0226</v>
      </c>
      <c r="I220" s="16">
        <f t="shared" ca="1" si="13"/>
        <v>88.656990740739275</v>
      </c>
      <c r="J220">
        <f t="shared" si="14"/>
        <v>7</v>
      </c>
      <c r="K220">
        <f t="shared" si="15"/>
        <v>108.13000000000001</v>
      </c>
    </row>
    <row r="221" spans="1:11" x14ac:dyDescent="0.35">
      <c r="A221" s="12" t="s">
        <v>519</v>
      </c>
      <c r="B221" s="13">
        <v>6</v>
      </c>
      <c r="C221" s="1">
        <v>45899.343009259261</v>
      </c>
      <c r="D221" s="13">
        <v>126.89</v>
      </c>
      <c r="H221" t="str">
        <f t="shared" si="12"/>
        <v>CUST0227</v>
      </c>
      <c r="I221" s="16">
        <f t="shared" ca="1" si="13"/>
        <v>130.65699074073927</v>
      </c>
      <c r="J221">
        <f t="shared" si="14"/>
        <v>6</v>
      </c>
      <c r="K221">
        <f t="shared" si="15"/>
        <v>126.89</v>
      </c>
    </row>
    <row r="222" spans="1:11" x14ac:dyDescent="0.35">
      <c r="A222" s="12" t="s">
        <v>159</v>
      </c>
      <c r="B222" s="13">
        <v>4</v>
      </c>
      <c r="C222" s="1">
        <v>45895.343009259261</v>
      </c>
      <c r="D222" s="13">
        <v>37.58</v>
      </c>
      <c r="H222" t="str">
        <f t="shared" si="12"/>
        <v>CUST0228</v>
      </c>
      <c r="I222" s="16">
        <f t="shared" ca="1" si="13"/>
        <v>134.65699074073927</v>
      </c>
      <c r="J222">
        <f t="shared" si="14"/>
        <v>4</v>
      </c>
      <c r="K222">
        <f t="shared" si="15"/>
        <v>37.58</v>
      </c>
    </row>
    <row r="223" spans="1:11" x14ac:dyDescent="0.35">
      <c r="A223" s="12" t="s">
        <v>64</v>
      </c>
      <c r="B223" s="13">
        <v>4</v>
      </c>
      <c r="C223" s="1">
        <v>45897.343009259261</v>
      </c>
      <c r="D223" s="13">
        <v>70.73</v>
      </c>
      <c r="H223" t="str">
        <f t="shared" si="12"/>
        <v>CUST0229</v>
      </c>
      <c r="I223" s="16">
        <f t="shared" ca="1" si="13"/>
        <v>132.65699074073927</v>
      </c>
      <c r="J223">
        <f t="shared" si="14"/>
        <v>4</v>
      </c>
      <c r="K223">
        <f t="shared" si="15"/>
        <v>70.73</v>
      </c>
    </row>
    <row r="224" spans="1:11" x14ac:dyDescent="0.35">
      <c r="A224" s="12" t="s">
        <v>136</v>
      </c>
      <c r="B224" s="13">
        <v>3</v>
      </c>
      <c r="C224" s="1">
        <v>45901.343009259261</v>
      </c>
      <c r="D224" s="13">
        <v>55.25</v>
      </c>
      <c r="H224" t="str">
        <f t="shared" si="12"/>
        <v>CUST0231</v>
      </c>
      <c r="I224" s="16">
        <f t="shared" ca="1" si="13"/>
        <v>128.65699074073927</v>
      </c>
      <c r="J224">
        <f t="shared" si="14"/>
        <v>3</v>
      </c>
      <c r="K224">
        <f t="shared" si="15"/>
        <v>55.25</v>
      </c>
    </row>
    <row r="225" spans="1:11" x14ac:dyDescent="0.35">
      <c r="A225" s="12" t="s">
        <v>517</v>
      </c>
      <c r="B225" s="13">
        <v>2</v>
      </c>
      <c r="C225" s="1">
        <v>45896.343009259261</v>
      </c>
      <c r="D225" s="13">
        <v>9.9400000000000013</v>
      </c>
      <c r="H225" t="str">
        <f t="shared" si="12"/>
        <v>CUST0232</v>
      </c>
      <c r="I225" s="16">
        <f t="shared" ca="1" si="13"/>
        <v>133.65699074073927</v>
      </c>
      <c r="J225">
        <f t="shared" si="14"/>
        <v>2</v>
      </c>
      <c r="K225">
        <f t="shared" si="15"/>
        <v>9.9400000000000013</v>
      </c>
    </row>
    <row r="226" spans="1:11" x14ac:dyDescent="0.35">
      <c r="A226" s="12" t="s">
        <v>804</v>
      </c>
      <c r="B226" s="13">
        <v>3</v>
      </c>
      <c r="C226" s="1">
        <v>45819.343009259261</v>
      </c>
      <c r="D226" s="13">
        <v>61.039999999999992</v>
      </c>
      <c r="H226" t="str">
        <f t="shared" si="12"/>
        <v>CUST0233</v>
      </c>
      <c r="I226" s="16">
        <f t="shared" ca="1" si="13"/>
        <v>210.65699074073927</v>
      </c>
      <c r="J226">
        <f t="shared" si="14"/>
        <v>3</v>
      </c>
      <c r="K226">
        <f t="shared" si="15"/>
        <v>61.039999999999992</v>
      </c>
    </row>
    <row r="227" spans="1:11" x14ac:dyDescent="0.35">
      <c r="A227" s="12" t="s">
        <v>405</v>
      </c>
      <c r="B227" s="13">
        <v>2</v>
      </c>
      <c r="C227" s="1">
        <v>45872.343009259261</v>
      </c>
      <c r="D227" s="13">
        <v>22.16</v>
      </c>
      <c r="H227" t="str">
        <f t="shared" si="12"/>
        <v>CUST0234</v>
      </c>
      <c r="I227" s="16">
        <f t="shared" ca="1" si="13"/>
        <v>157.65699074073927</v>
      </c>
      <c r="J227">
        <f t="shared" si="14"/>
        <v>2</v>
      </c>
      <c r="K227">
        <f t="shared" si="15"/>
        <v>22.16</v>
      </c>
    </row>
    <row r="228" spans="1:11" x14ac:dyDescent="0.35">
      <c r="A228" s="12" t="s">
        <v>452</v>
      </c>
      <c r="B228" s="13">
        <v>2</v>
      </c>
      <c r="C228" s="1">
        <v>45932.343009259261</v>
      </c>
      <c r="D228" s="13">
        <v>54.569999999999993</v>
      </c>
      <c r="H228" t="str">
        <f t="shared" si="12"/>
        <v>CUST0235</v>
      </c>
      <c r="I228" s="16">
        <f t="shared" ca="1" si="13"/>
        <v>97.656990740739275</v>
      </c>
      <c r="J228">
        <f t="shared" si="14"/>
        <v>2</v>
      </c>
      <c r="K228">
        <f t="shared" si="15"/>
        <v>54.569999999999993</v>
      </c>
    </row>
    <row r="229" spans="1:11" x14ac:dyDescent="0.35">
      <c r="A229" s="12" t="s">
        <v>47</v>
      </c>
      <c r="B229" s="13">
        <v>5</v>
      </c>
      <c r="C229" s="1">
        <v>45926.343009259261</v>
      </c>
      <c r="D229" s="13">
        <v>70.13</v>
      </c>
      <c r="H229" t="str">
        <f t="shared" si="12"/>
        <v>CUST0236</v>
      </c>
      <c r="I229" s="16">
        <f t="shared" ca="1" si="13"/>
        <v>103.65699074073927</v>
      </c>
      <c r="J229">
        <f t="shared" si="14"/>
        <v>5</v>
      </c>
      <c r="K229">
        <f t="shared" si="15"/>
        <v>70.13</v>
      </c>
    </row>
    <row r="230" spans="1:11" x14ac:dyDescent="0.35">
      <c r="A230" s="12" t="s">
        <v>86</v>
      </c>
      <c r="B230" s="13">
        <v>5</v>
      </c>
      <c r="C230" s="1">
        <v>45959.343009259261</v>
      </c>
      <c r="D230" s="13">
        <v>92.73</v>
      </c>
      <c r="H230" t="str">
        <f t="shared" si="12"/>
        <v>CUST0237</v>
      </c>
      <c r="I230" s="16">
        <f t="shared" ca="1" si="13"/>
        <v>70.656990740739275</v>
      </c>
      <c r="J230">
        <f t="shared" si="14"/>
        <v>5</v>
      </c>
      <c r="K230">
        <f t="shared" si="15"/>
        <v>92.73</v>
      </c>
    </row>
    <row r="231" spans="1:11" x14ac:dyDescent="0.35">
      <c r="A231" s="12" t="s">
        <v>992</v>
      </c>
      <c r="B231" s="13">
        <v>1</v>
      </c>
      <c r="C231" s="1">
        <v>45792.343009259261</v>
      </c>
      <c r="D231" s="13">
        <v>34.880000000000003</v>
      </c>
      <c r="H231" t="str">
        <f t="shared" si="12"/>
        <v>CUST0238</v>
      </c>
      <c r="I231" s="16">
        <f t="shared" ca="1" si="13"/>
        <v>237.65699074073927</v>
      </c>
      <c r="J231">
        <f t="shared" si="14"/>
        <v>1</v>
      </c>
      <c r="K231">
        <f t="shared" si="15"/>
        <v>34.880000000000003</v>
      </c>
    </row>
    <row r="232" spans="1:11" x14ac:dyDescent="0.35">
      <c r="A232" s="12" t="s">
        <v>359</v>
      </c>
      <c r="B232" s="13">
        <v>4</v>
      </c>
      <c r="C232" s="1">
        <v>45879.343009259261</v>
      </c>
      <c r="D232" s="13">
        <v>85.9</v>
      </c>
      <c r="H232" t="str">
        <f t="shared" si="12"/>
        <v>CUST0239</v>
      </c>
      <c r="I232" s="16">
        <f t="shared" ca="1" si="13"/>
        <v>150.65699074073927</v>
      </c>
      <c r="J232">
        <f t="shared" si="14"/>
        <v>4</v>
      </c>
      <c r="K232">
        <f t="shared" si="15"/>
        <v>85.9</v>
      </c>
    </row>
    <row r="233" spans="1:11" x14ac:dyDescent="0.35">
      <c r="A233" s="12" t="s">
        <v>1049</v>
      </c>
      <c r="B233" s="13">
        <v>1</v>
      </c>
      <c r="C233" s="1">
        <v>45943.343009259261</v>
      </c>
      <c r="D233" s="13">
        <v>12.43</v>
      </c>
      <c r="H233" t="str">
        <f t="shared" si="12"/>
        <v>CUST0240</v>
      </c>
      <c r="I233" s="16">
        <f t="shared" ca="1" si="13"/>
        <v>86.656990740739275</v>
      </c>
      <c r="J233">
        <f t="shared" si="14"/>
        <v>1</v>
      </c>
      <c r="K233">
        <f t="shared" si="15"/>
        <v>12.43</v>
      </c>
    </row>
    <row r="234" spans="1:11" x14ac:dyDescent="0.35">
      <c r="A234" s="12" t="s">
        <v>691</v>
      </c>
      <c r="B234" s="13">
        <v>3</v>
      </c>
      <c r="C234" s="1">
        <v>45926.343009259261</v>
      </c>
      <c r="D234" s="13">
        <v>51.7</v>
      </c>
      <c r="H234" t="str">
        <f t="shared" si="12"/>
        <v>CUST0241</v>
      </c>
      <c r="I234" s="16">
        <f t="shared" ca="1" si="13"/>
        <v>103.65699074073927</v>
      </c>
      <c r="J234">
        <f t="shared" si="14"/>
        <v>3</v>
      </c>
      <c r="K234">
        <f t="shared" si="15"/>
        <v>51.7</v>
      </c>
    </row>
    <row r="235" spans="1:11" x14ac:dyDescent="0.35">
      <c r="A235" s="12" t="s">
        <v>820</v>
      </c>
      <c r="B235" s="13">
        <v>4</v>
      </c>
      <c r="C235" s="1">
        <v>45950.343009259261</v>
      </c>
      <c r="D235" s="13">
        <v>97.14</v>
      </c>
      <c r="H235" t="str">
        <f t="shared" si="12"/>
        <v>CUST0242</v>
      </c>
      <c r="I235" s="16">
        <f t="shared" ca="1" si="13"/>
        <v>79.656990740739275</v>
      </c>
      <c r="J235">
        <f t="shared" si="14"/>
        <v>4</v>
      </c>
      <c r="K235">
        <f t="shared" si="15"/>
        <v>97.14</v>
      </c>
    </row>
    <row r="236" spans="1:11" x14ac:dyDescent="0.35">
      <c r="A236" s="12" t="s">
        <v>179</v>
      </c>
      <c r="B236" s="13">
        <v>5</v>
      </c>
      <c r="C236" s="1">
        <v>45834.343009259261</v>
      </c>
      <c r="D236" s="13">
        <v>101.22</v>
      </c>
      <c r="H236" t="str">
        <f t="shared" si="12"/>
        <v>CUST0243</v>
      </c>
      <c r="I236" s="16">
        <f t="shared" ca="1" si="13"/>
        <v>195.65699074073927</v>
      </c>
      <c r="J236">
        <f t="shared" si="14"/>
        <v>5</v>
      </c>
      <c r="K236">
        <f t="shared" si="15"/>
        <v>101.22</v>
      </c>
    </row>
    <row r="237" spans="1:11" x14ac:dyDescent="0.35">
      <c r="A237" s="12" t="s">
        <v>254</v>
      </c>
      <c r="B237" s="13">
        <v>2</v>
      </c>
      <c r="C237" s="1">
        <v>45774.343009259261</v>
      </c>
      <c r="D237" s="13">
        <v>33.430000000000007</v>
      </c>
      <c r="H237" t="str">
        <f t="shared" si="12"/>
        <v>CUST0244</v>
      </c>
      <c r="I237" s="16">
        <f t="shared" ca="1" si="13"/>
        <v>255.65699074073927</v>
      </c>
      <c r="J237">
        <f t="shared" si="14"/>
        <v>2</v>
      </c>
      <c r="K237">
        <f t="shared" si="15"/>
        <v>33.430000000000007</v>
      </c>
    </row>
    <row r="238" spans="1:11" x14ac:dyDescent="0.35">
      <c r="A238" s="12" t="s">
        <v>642</v>
      </c>
      <c r="B238" s="13">
        <v>3</v>
      </c>
      <c r="C238" s="1">
        <v>45950.343009259261</v>
      </c>
      <c r="D238" s="13">
        <v>70.489999999999995</v>
      </c>
      <c r="H238" t="str">
        <f t="shared" si="12"/>
        <v>CUST0245</v>
      </c>
      <c r="I238" s="16">
        <f t="shared" ca="1" si="13"/>
        <v>79.656990740739275</v>
      </c>
      <c r="J238">
        <f t="shared" si="14"/>
        <v>3</v>
      </c>
      <c r="K238">
        <f t="shared" si="15"/>
        <v>70.489999999999995</v>
      </c>
    </row>
    <row r="239" spans="1:11" x14ac:dyDescent="0.35">
      <c r="A239" s="12" t="s">
        <v>448</v>
      </c>
      <c r="B239" s="13">
        <v>3</v>
      </c>
      <c r="C239" s="1">
        <v>45797.343009259261</v>
      </c>
      <c r="D239" s="13">
        <v>37.870000000000005</v>
      </c>
      <c r="H239" t="str">
        <f t="shared" si="12"/>
        <v>CUST0246</v>
      </c>
      <c r="I239" s="16">
        <f t="shared" ca="1" si="13"/>
        <v>232.65699074073927</v>
      </c>
      <c r="J239">
        <f t="shared" si="14"/>
        <v>3</v>
      </c>
      <c r="K239">
        <f t="shared" si="15"/>
        <v>37.870000000000005</v>
      </c>
    </row>
    <row r="240" spans="1:11" x14ac:dyDescent="0.35">
      <c r="A240" s="12" t="s">
        <v>351</v>
      </c>
      <c r="B240" s="13">
        <v>2</v>
      </c>
      <c r="C240" s="1">
        <v>45900.343009259261</v>
      </c>
      <c r="D240" s="13">
        <v>11.96</v>
      </c>
      <c r="H240" t="str">
        <f t="shared" si="12"/>
        <v>CUST0247</v>
      </c>
      <c r="I240" s="16">
        <f t="shared" ca="1" si="13"/>
        <v>129.65699074073927</v>
      </c>
      <c r="J240">
        <f t="shared" si="14"/>
        <v>2</v>
      </c>
      <c r="K240">
        <f t="shared" si="15"/>
        <v>11.96</v>
      </c>
    </row>
    <row r="241" spans="1:11" x14ac:dyDescent="0.35">
      <c r="A241" s="12" t="s">
        <v>357</v>
      </c>
      <c r="B241" s="13">
        <v>2</v>
      </c>
      <c r="C241" s="1">
        <v>45859.343009259261</v>
      </c>
      <c r="D241" s="13">
        <v>49.29</v>
      </c>
      <c r="H241" t="str">
        <f t="shared" si="12"/>
        <v>CUST0249</v>
      </c>
      <c r="I241" s="16">
        <f t="shared" ca="1" si="13"/>
        <v>170.65699074073927</v>
      </c>
      <c r="J241">
        <f t="shared" si="14"/>
        <v>2</v>
      </c>
      <c r="K241">
        <f t="shared" si="15"/>
        <v>49.29</v>
      </c>
    </row>
    <row r="242" spans="1:11" x14ac:dyDescent="0.35">
      <c r="A242" s="12" t="s">
        <v>528</v>
      </c>
      <c r="B242" s="13">
        <v>3</v>
      </c>
      <c r="C242" s="1">
        <v>45881.343009259261</v>
      </c>
      <c r="D242" s="13">
        <v>47.45</v>
      </c>
      <c r="H242" t="str">
        <f t="shared" si="12"/>
        <v>CUST0250</v>
      </c>
      <c r="I242" s="16">
        <f t="shared" ca="1" si="13"/>
        <v>148.65699074073927</v>
      </c>
      <c r="J242">
        <f t="shared" si="14"/>
        <v>3</v>
      </c>
      <c r="K242">
        <f t="shared" si="15"/>
        <v>47.45</v>
      </c>
    </row>
    <row r="243" spans="1:11" x14ac:dyDescent="0.35">
      <c r="A243" s="12" t="s">
        <v>268</v>
      </c>
      <c r="B243" s="13">
        <v>7</v>
      </c>
      <c r="C243" s="1">
        <v>45937.343009259261</v>
      </c>
      <c r="D243" s="13">
        <v>123.67</v>
      </c>
      <c r="H243" t="str">
        <f t="shared" si="12"/>
        <v>CUST0251</v>
      </c>
      <c r="I243" s="16">
        <f t="shared" ca="1" si="13"/>
        <v>92.656990740739275</v>
      </c>
      <c r="J243">
        <f t="shared" si="14"/>
        <v>7</v>
      </c>
      <c r="K243">
        <f t="shared" si="15"/>
        <v>123.67</v>
      </c>
    </row>
    <row r="244" spans="1:11" x14ac:dyDescent="0.35">
      <c r="A244" s="12" t="s">
        <v>143</v>
      </c>
      <c r="B244" s="13">
        <v>2</v>
      </c>
      <c r="C244" s="1">
        <v>45731.343009259261</v>
      </c>
      <c r="D244" s="13">
        <v>21.060000000000002</v>
      </c>
      <c r="H244" t="str">
        <f t="shared" si="12"/>
        <v>CUST0254</v>
      </c>
      <c r="I244" s="16">
        <f t="shared" ca="1" si="13"/>
        <v>298.65699074073927</v>
      </c>
      <c r="J244">
        <f t="shared" si="14"/>
        <v>2</v>
      </c>
      <c r="K244">
        <f t="shared" si="15"/>
        <v>21.060000000000002</v>
      </c>
    </row>
    <row r="245" spans="1:11" x14ac:dyDescent="0.35">
      <c r="A245" s="12" t="s">
        <v>353</v>
      </c>
      <c r="B245" s="13">
        <v>1</v>
      </c>
      <c r="C245" s="1">
        <v>45708.343009259261</v>
      </c>
      <c r="D245" s="13">
        <v>11.89</v>
      </c>
      <c r="H245" t="str">
        <f t="shared" si="12"/>
        <v>CUST0255</v>
      </c>
      <c r="I245" s="16">
        <f t="shared" ca="1" si="13"/>
        <v>321.65699074073927</v>
      </c>
      <c r="J245">
        <f t="shared" si="14"/>
        <v>1</v>
      </c>
      <c r="K245">
        <f t="shared" si="15"/>
        <v>11.89</v>
      </c>
    </row>
    <row r="246" spans="1:11" x14ac:dyDescent="0.35">
      <c r="A246" s="12" t="s">
        <v>415</v>
      </c>
      <c r="B246" s="13">
        <v>1</v>
      </c>
      <c r="C246" s="1">
        <v>45854.343009259261</v>
      </c>
      <c r="D246" s="13">
        <v>4.12</v>
      </c>
      <c r="H246" t="str">
        <f t="shared" si="12"/>
        <v>CUST0256</v>
      </c>
      <c r="I246" s="16">
        <f t="shared" ca="1" si="13"/>
        <v>175.65699074073927</v>
      </c>
      <c r="J246">
        <f t="shared" si="14"/>
        <v>1</v>
      </c>
      <c r="K246">
        <f t="shared" si="15"/>
        <v>4.12</v>
      </c>
    </row>
    <row r="247" spans="1:11" x14ac:dyDescent="0.35">
      <c r="A247" s="12" t="s">
        <v>233</v>
      </c>
      <c r="B247" s="13">
        <v>5</v>
      </c>
      <c r="C247" s="1">
        <v>45935.343009259261</v>
      </c>
      <c r="D247" s="13">
        <v>84.58</v>
      </c>
      <c r="H247" t="str">
        <f t="shared" si="12"/>
        <v>CUST0257</v>
      </c>
      <c r="I247" s="16">
        <f t="shared" ca="1" si="13"/>
        <v>94.656990740739275</v>
      </c>
      <c r="J247">
        <f t="shared" si="14"/>
        <v>5</v>
      </c>
      <c r="K247">
        <f t="shared" si="15"/>
        <v>84.58</v>
      </c>
    </row>
    <row r="248" spans="1:11" x14ac:dyDescent="0.35">
      <c r="A248" s="12" t="s">
        <v>791</v>
      </c>
      <c r="B248" s="13">
        <v>1</v>
      </c>
      <c r="C248" s="1">
        <v>45709.343009259261</v>
      </c>
      <c r="D248" s="13">
        <v>12.22</v>
      </c>
      <c r="H248" t="str">
        <f t="shared" si="12"/>
        <v>CUST0258</v>
      </c>
      <c r="I248" s="16">
        <f t="shared" ca="1" si="13"/>
        <v>320.65699074073927</v>
      </c>
      <c r="J248">
        <f t="shared" si="14"/>
        <v>1</v>
      </c>
      <c r="K248">
        <f t="shared" si="15"/>
        <v>12.22</v>
      </c>
    </row>
    <row r="249" spans="1:11" x14ac:dyDescent="0.35">
      <c r="A249" s="12" t="s">
        <v>6</v>
      </c>
      <c r="B249" s="13">
        <v>2</v>
      </c>
      <c r="C249" s="1">
        <v>45713.343009259261</v>
      </c>
      <c r="D249" s="13">
        <v>59.36</v>
      </c>
      <c r="H249" t="str">
        <f t="shared" si="12"/>
        <v>CUST0259</v>
      </c>
      <c r="I249" s="16">
        <f t="shared" ca="1" si="13"/>
        <v>316.65699074073927</v>
      </c>
      <c r="J249">
        <f t="shared" si="14"/>
        <v>2</v>
      </c>
      <c r="K249">
        <f t="shared" si="15"/>
        <v>59.36</v>
      </c>
    </row>
    <row r="250" spans="1:11" x14ac:dyDescent="0.35">
      <c r="A250" s="12" t="s">
        <v>679</v>
      </c>
      <c r="B250" s="13">
        <v>1</v>
      </c>
      <c r="C250" s="1">
        <v>45874.343009259261</v>
      </c>
      <c r="D250" s="13">
        <v>33.6</v>
      </c>
      <c r="H250" t="str">
        <f t="shared" si="12"/>
        <v>CUST0260</v>
      </c>
      <c r="I250" s="16">
        <f t="shared" ca="1" si="13"/>
        <v>155.65699074073927</v>
      </c>
      <c r="J250">
        <f t="shared" si="14"/>
        <v>1</v>
      </c>
      <c r="K250">
        <f t="shared" si="15"/>
        <v>33.6</v>
      </c>
    </row>
    <row r="251" spans="1:11" x14ac:dyDescent="0.35">
      <c r="A251" s="12" t="s">
        <v>18</v>
      </c>
      <c r="B251" s="13">
        <v>6</v>
      </c>
      <c r="C251" s="1">
        <v>45921.343009259261</v>
      </c>
      <c r="D251" s="13">
        <v>60.890000000000008</v>
      </c>
      <c r="H251" t="str">
        <f t="shared" si="12"/>
        <v>CUST0261</v>
      </c>
      <c r="I251" s="16">
        <f t="shared" ca="1" si="13"/>
        <v>108.65699074073927</v>
      </c>
      <c r="J251">
        <f t="shared" si="14"/>
        <v>6</v>
      </c>
      <c r="K251">
        <f t="shared" si="15"/>
        <v>60.890000000000008</v>
      </c>
    </row>
    <row r="252" spans="1:11" x14ac:dyDescent="0.35">
      <c r="A252" s="12" t="s">
        <v>694</v>
      </c>
      <c r="B252" s="13">
        <v>5</v>
      </c>
      <c r="C252" s="1">
        <v>45953.343009259261</v>
      </c>
      <c r="D252" s="13">
        <v>121.51</v>
      </c>
      <c r="H252" t="str">
        <f t="shared" si="12"/>
        <v>CUST0262</v>
      </c>
      <c r="I252" s="16">
        <f t="shared" ca="1" si="13"/>
        <v>76.656990740739275</v>
      </c>
      <c r="J252">
        <f t="shared" si="14"/>
        <v>5</v>
      </c>
      <c r="K252">
        <f t="shared" si="15"/>
        <v>121.51</v>
      </c>
    </row>
    <row r="253" spans="1:11" x14ac:dyDescent="0.35">
      <c r="A253" s="12" t="s">
        <v>382</v>
      </c>
      <c r="B253" s="13">
        <v>3</v>
      </c>
      <c r="C253" s="1">
        <v>45872.343009259261</v>
      </c>
      <c r="D253" s="13">
        <v>57.67</v>
      </c>
      <c r="H253" t="str">
        <f t="shared" si="12"/>
        <v>CUST0263</v>
      </c>
      <c r="I253" s="16">
        <f t="shared" ca="1" si="13"/>
        <v>157.65699074073927</v>
      </c>
      <c r="J253">
        <f t="shared" si="14"/>
        <v>3</v>
      </c>
      <c r="K253">
        <f t="shared" si="15"/>
        <v>57.67</v>
      </c>
    </row>
    <row r="254" spans="1:11" x14ac:dyDescent="0.35">
      <c r="A254" s="12" t="s">
        <v>334</v>
      </c>
      <c r="B254" s="13">
        <v>6</v>
      </c>
      <c r="C254" s="1">
        <v>45933.343009259261</v>
      </c>
      <c r="D254" s="13">
        <v>126.84</v>
      </c>
      <c r="H254" t="str">
        <f t="shared" si="12"/>
        <v>CUST0264</v>
      </c>
      <c r="I254" s="16">
        <f t="shared" ca="1" si="13"/>
        <v>96.656990740739275</v>
      </c>
      <c r="J254">
        <f t="shared" si="14"/>
        <v>6</v>
      </c>
      <c r="K254">
        <f t="shared" si="15"/>
        <v>126.84</v>
      </c>
    </row>
    <row r="255" spans="1:11" x14ac:dyDescent="0.35">
      <c r="A255" s="12" t="s">
        <v>37</v>
      </c>
      <c r="B255" s="13">
        <v>2</v>
      </c>
      <c r="C255" s="1">
        <v>45955.343009259261</v>
      </c>
      <c r="D255" s="13">
        <v>50.75</v>
      </c>
      <c r="H255" t="str">
        <f t="shared" si="12"/>
        <v>CUST0265</v>
      </c>
      <c r="I255" s="16">
        <f t="shared" ca="1" si="13"/>
        <v>74.656990740739275</v>
      </c>
      <c r="J255">
        <f t="shared" si="14"/>
        <v>2</v>
      </c>
      <c r="K255">
        <f t="shared" si="15"/>
        <v>50.75</v>
      </c>
    </row>
    <row r="256" spans="1:11" x14ac:dyDescent="0.35">
      <c r="A256" s="12" t="s">
        <v>340</v>
      </c>
      <c r="B256" s="13">
        <v>4</v>
      </c>
      <c r="C256" s="1">
        <v>45868.343009259261</v>
      </c>
      <c r="D256" s="13">
        <v>37.729999999999997</v>
      </c>
      <c r="H256" t="str">
        <f t="shared" si="12"/>
        <v>CUST0266</v>
      </c>
      <c r="I256" s="16">
        <f t="shared" ca="1" si="13"/>
        <v>161.65699074073927</v>
      </c>
      <c r="J256">
        <f t="shared" si="14"/>
        <v>4</v>
      </c>
      <c r="K256">
        <f t="shared" si="15"/>
        <v>37.729999999999997</v>
      </c>
    </row>
    <row r="257" spans="1:11" x14ac:dyDescent="0.35">
      <c r="A257" s="12" t="s">
        <v>62</v>
      </c>
      <c r="B257" s="13">
        <v>6</v>
      </c>
      <c r="C257" s="1">
        <v>45834.343009259261</v>
      </c>
      <c r="D257" s="13">
        <v>140.88999999999999</v>
      </c>
      <c r="H257" t="str">
        <f t="shared" si="12"/>
        <v>CUST0267</v>
      </c>
      <c r="I257" s="16">
        <f t="shared" ca="1" si="13"/>
        <v>195.65699074073927</v>
      </c>
      <c r="J257">
        <f t="shared" si="14"/>
        <v>6</v>
      </c>
      <c r="K257">
        <f t="shared" si="15"/>
        <v>140.88999999999999</v>
      </c>
    </row>
    <row r="258" spans="1:11" x14ac:dyDescent="0.35">
      <c r="A258" s="12" t="s">
        <v>487</v>
      </c>
      <c r="B258" s="13">
        <v>3</v>
      </c>
      <c r="C258" s="1">
        <v>45748.343009259261</v>
      </c>
      <c r="D258" s="13">
        <v>80.47</v>
      </c>
      <c r="H258" t="str">
        <f t="shared" si="12"/>
        <v>CUST0268</v>
      </c>
      <c r="I258" s="16">
        <f t="shared" ca="1" si="13"/>
        <v>281.65699074073927</v>
      </c>
      <c r="J258">
        <f t="shared" si="14"/>
        <v>3</v>
      </c>
      <c r="K258">
        <f t="shared" si="15"/>
        <v>80.47</v>
      </c>
    </row>
    <row r="259" spans="1:11" x14ac:dyDescent="0.35">
      <c r="A259" s="12" t="s">
        <v>633</v>
      </c>
      <c r="B259" s="13">
        <v>4</v>
      </c>
      <c r="C259" s="1">
        <v>45775.343009259261</v>
      </c>
      <c r="D259" s="13">
        <v>70.960000000000008</v>
      </c>
      <c r="H259" t="str">
        <f t="shared" si="12"/>
        <v>CUST0269</v>
      </c>
      <c r="I259" s="16">
        <f t="shared" ca="1" si="13"/>
        <v>254.65699074073927</v>
      </c>
      <c r="J259">
        <f t="shared" si="14"/>
        <v>4</v>
      </c>
      <c r="K259">
        <f t="shared" si="15"/>
        <v>70.960000000000008</v>
      </c>
    </row>
    <row r="260" spans="1:11" x14ac:dyDescent="0.35">
      <c r="A260" s="12" t="s">
        <v>66</v>
      </c>
      <c r="B260" s="13">
        <v>4</v>
      </c>
      <c r="C260" s="1">
        <v>45831.343009259261</v>
      </c>
      <c r="D260" s="13">
        <v>83.37</v>
      </c>
      <c r="H260" t="str">
        <f t="shared" si="12"/>
        <v>CUST0270</v>
      </c>
      <c r="I260" s="16">
        <f t="shared" ca="1" si="13"/>
        <v>198.65699074073927</v>
      </c>
      <c r="J260">
        <f t="shared" si="14"/>
        <v>4</v>
      </c>
      <c r="K260">
        <f t="shared" si="15"/>
        <v>83.37</v>
      </c>
    </row>
    <row r="261" spans="1:11" x14ac:dyDescent="0.35">
      <c r="A261" s="12" t="s">
        <v>856</v>
      </c>
      <c r="B261" s="13">
        <v>5</v>
      </c>
      <c r="C261" s="1">
        <v>45917.343009259261</v>
      </c>
      <c r="D261" s="13">
        <v>117.98</v>
      </c>
      <c r="H261" t="str">
        <f t="shared" ref="H261:H290" si="16">A261</f>
        <v>CUST0271</v>
      </c>
      <c r="I261" s="16">
        <f t="shared" ref="I261:I290" ca="1" si="17">$F$3-C261</f>
        <v>112.65699074073927</v>
      </c>
      <c r="J261">
        <f t="shared" ref="J261:J290" si="18">B261</f>
        <v>5</v>
      </c>
      <c r="K261">
        <f t="shared" ref="K261:K290" si="19">D261</f>
        <v>117.98</v>
      </c>
    </row>
    <row r="262" spans="1:11" x14ac:dyDescent="0.35">
      <c r="A262" s="12" t="s">
        <v>647</v>
      </c>
      <c r="B262" s="13">
        <v>1</v>
      </c>
      <c r="C262" s="1">
        <v>45600.343009259261</v>
      </c>
      <c r="D262" s="13">
        <v>4.37</v>
      </c>
      <c r="H262" t="str">
        <f t="shared" si="16"/>
        <v>CUST0272</v>
      </c>
      <c r="I262" s="16">
        <f t="shared" ca="1" si="17"/>
        <v>429.65699074073927</v>
      </c>
      <c r="J262">
        <f t="shared" si="18"/>
        <v>1</v>
      </c>
      <c r="K262">
        <f t="shared" si="19"/>
        <v>4.37</v>
      </c>
    </row>
    <row r="263" spans="1:11" x14ac:dyDescent="0.35">
      <c r="A263" s="12" t="s">
        <v>35</v>
      </c>
      <c r="B263" s="13">
        <v>3</v>
      </c>
      <c r="C263" s="1">
        <v>45768.343009259261</v>
      </c>
      <c r="D263" s="13">
        <v>55.449999999999996</v>
      </c>
      <c r="H263" t="str">
        <f t="shared" si="16"/>
        <v>CUST0273</v>
      </c>
      <c r="I263" s="16">
        <f t="shared" ca="1" si="17"/>
        <v>261.65699074073927</v>
      </c>
      <c r="J263">
        <f t="shared" si="18"/>
        <v>3</v>
      </c>
      <c r="K263">
        <f t="shared" si="19"/>
        <v>55.449999999999996</v>
      </c>
    </row>
    <row r="264" spans="1:11" x14ac:dyDescent="0.35">
      <c r="A264" s="12" t="s">
        <v>636</v>
      </c>
      <c r="B264" s="13">
        <v>3</v>
      </c>
      <c r="C264" s="1">
        <v>45921.343009259261</v>
      </c>
      <c r="D264" s="13">
        <v>71.960000000000008</v>
      </c>
      <c r="H264" t="str">
        <f t="shared" si="16"/>
        <v>CUST0274</v>
      </c>
      <c r="I264" s="16">
        <f t="shared" ca="1" si="17"/>
        <v>108.65699074073927</v>
      </c>
      <c r="J264">
        <f t="shared" si="18"/>
        <v>3</v>
      </c>
      <c r="K264">
        <f t="shared" si="19"/>
        <v>71.960000000000008</v>
      </c>
    </row>
    <row r="265" spans="1:11" x14ac:dyDescent="0.35">
      <c r="A265" s="12" t="s">
        <v>562</v>
      </c>
      <c r="B265" s="13">
        <v>2</v>
      </c>
      <c r="C265" s="1">
        <v>45711.343009259261</v>
      </c>
      <c r="D265" s="13">
        <v>27.740000000000002</v>
      </c>
      <c r="H265" t="str">
        <f t="shared" si="16"/>
        <v>CUST0275</v>
      </c>
      <c r="I265" s="16">
        <f t="shared" ca="1" si="17"/>
        <v>318.65699074073927</v>
      </c>
      <c r="J265">
        <f t="shared" si="18"/>
        <v>2</v>
      </c>
      <c r="K265">
        <f t="shared" si="19"/>
        <v>27.740000000000002</v>
      </c>
    </row>
    <row r="266" spans="1:11" x14ac:dyDescent="0.35">
      <c r="A266" s="12" t="s">
        <v>1082</v>
      </c>
      <c r="B266" s="13">
        <v>2</v>
      </c>
      <c r="C266" s="1">
        <v>45746.343009259261</v>
      </c>
      <c r="D266" s="13">
        <v>48.74</v>
      </c>
      <c r="H266" t="str">
        <f t="shared" si="16"/>
        <v>CUST0276</v>
      </c>
      <c r="I266" s="16">
        <f t="shared" ca="1" si="17"/>
        <v>283.65699074073927</v>
      </c>
      <c r="J266">
        <f t="shared" si="18"/>
        <v>2</v>
      </c>
      <c r="K266">
        <f t="shared" si="19"/>
        <v>48.74</v>
      </c>
    </row>
    <row r="267" spans="1:11" x14ac:dyDescent="0.35">
      <c r="A267" s="12" t="s">
        <v>922</v>
      </c>
      <c r="B267" s="13">
        <v>3</v>
      </c>
      <c r="C267" s="1">
        <v>45823.343009259261</v>
      </c>
      <c r="D267" s="13">
        <v>34.480000000000004</v>
      </c>
      <c r="H267" t="str">
        <f t="shared" si="16"/>
        <v>CUST0277</v>
      </c>
      <c r="I267" s="16">
        <f t="shared" ca="1" si="17"/>
        <v>206.65699074073927</v>
      </c>
      <c r="J267">
        <f t="shared" si="18"/>
        <v>3</v>
      </c>
      <c r="K267">
        <f t="shared" si="19"/>
        <v>34.480000000000004</v>
      </c>
    </row>
    <row r="268" spans="1:11" x14ac:dyDescent="0.35">
      <c r="A268" s="12" t="s">
        <v>450</v>
      </c>
      <c r="B268" s="13">
        <v>2</v>
      </c>
      <c r="C268" s="1">
        <v>45874.343009259261</v>
      </c>
      <c r="D268" s="13">
        <v>27.89</v>
      </c>
      <c r="H268" t="str">
        <f t="shared" si="16"/>
        <v>CUST0278</v>
      </c>
      <c r="I268" s="16">
        <f t="shared" ca="1" si="17"/>
        <v>155.65699074073927</v>
      </c>
      <c r="J268">
        <f t="shared" si="18"/>
        <v>2</v>
      </c>
      <c r="K268">
        <f t="shared" si="19"/>
        <v>27.89</v>
      </c>
    </row>
    <row r="269" spans="1:11" x14ac:dyDescent="0.35">
      <c r="A269" s="12" t="s">
        <v>1180</v>
      </c>
      <c r="B269" s="13">
        <v>1</v>
      </c>
      <c r="C269" s="1">
        <v>45623.343009259261</v>
      </c>
      <c r="D269" s="13">
        <v>5.19</v>
      </c>
      <c r="H269" t="str">
        <f t="shared" si="16"/>
        <v>CUST0279</v>
      </c>
      <c r="I269" s="16">
        <f t="shared" ca="1" si="17"/>
        <v>406.65699074073927</v>
      </c>
      <c r="J269">
        <f t="shared" si="18"/>
        <v>1</v>
      </c>
      <c r="K269">
        <f t="shared" si="19"/>
        <v>5.19</v>
      </c>
    </row>
    <row r="270" spans="1:11" x14ac:dyDescent="0.35">
      <c r="A270" s="12" t="s">
        <v>422</v>
      </c>
      <c r="B270" s="13">
        <v>2</v>
      </c>
      <c r="C270" s="1">
        <v>45765.343009259261</v>
      </c>
      <c r="D270" s="13">
        <v>11.09</v>
      </c>
      <c r="H270" t="str">
        <f t="shared" si="16"/>
        <v>CUST0280</v>
      </c>
      <c r="I270" s="16">
        <f t="shared" ca="1" si="17"/>
        <v>264.65699074073927</v>
      </c>
      <c r="J270">
        <f t="shared" si="18"/>
        <v>2</v>
      </c>
      <c r="K270">
        <f t="shared" si="19"/>
        <v>11.09</v>
      </c>
    </row>
    <row r="271" spans="1:11" x14ac:dyDescent="0.35">
      <c r="A271" s="12" t="s">
        <v>444</v>
      </c>
      <c r="B271" s="13">
        <v>3</v>
      </c>
      <c r="C271" s="1">
        <v>45763.343009259261</v>
      </c>
      <c r="D271" s="13">
        <v>47.22</v>
      </c>
      <c r="H271" t="str">
        <f t="shared" si="16"/>
        <v>CUST0281</v>
      </c>
      <c r="I271" s="16">
        <f t="shared" ca="1" si="17"/>
        <v>266.65699074073927</v>
      </c>
      <c r="J271">
        <f t="shared" si="18"/>
        <v>3</v>
      </c>
      <c r="K271">
        <f t="shared" si="19"/>
        <v>47.22</v>
      </c>
    </row>
    <row r="272" spans="1:11" x14ac:dyDescent="0.35">
      <c r="A272" s="12" t="s">
        <v>183</v>
      </c>
      <c r="B272" s="13">
        <v>6</v>
      </c>
      <c r="C272" s="1">
        <v>45935.343009259261</v>
      </c>
      <c r="D272" s="13">
        <v>70.48</v>
      </c>
      <c r="H272" t="str">
        <f t="shared" si="16"/>
        <v>CUST0282</v>
      </c>
      <c r="I272" s="16">
        <f t="shared" ca="1" si="17"/>
        <v>94.656990740739275</v>
      </c>
      <c r="J272">
        <f t="shared" si="18"/>
        <v>6</v>
      </c>
      <c r="K272">
        <f t="shared" si="19"/>
        <v>70.48</v>
      </c>
    </row>
    <row r="273" spans="1:11" x14ac:dyDescent="0.35">
      <c r="A273" s="12" t="s">
        <v>187</v>
      </c>
      <c r="B273" s="13">
        <v>1</v>
      </c>
      <c r="C273" s="1">
        <v>45922.343009259261</v>
      </c>
      <c r="D273" s="13">
        <v>5.6</v>
      </c>
      <c r="H273" t="str">
        <f t="shared" si="16"/>
        <v>CUST0283</v>
      </c>
      <c r="I273" s="16">
        <f t="shared" ca="1" si="17"/>
        <v>107.65699074073927</v>
      </c>
      <c r="J273">
        <f t="shared" si="18"/>
        <v>1</v>
      </c>
      <c r="K273">
        <f t="shared" si="19"/>
        <v>5.6</v>
      </c>
    </row>
    <row r="274" spans="1:11" x14ac:dyDescent="0.35">
      <c r="A274" s="12" t="s">
        <v>745</v>
      </c>
      <c r="B274" s="13">
        <v>2</v>
      </c>
      <c r="C274" s="1">
        <v>45903.343009259261</v>
      </c>
      <c r="D274" s="13">
        <v>71.95</v>
      </c>
      <c r="H274" t="str">
        <f t="shared" si="16"/>
        <v>CUST0284</v>
      </c>
      <c r="I274" s="16">
        <f t="shared" ca="1" si="17"/>
        <v>126.65699074073927</v>
      </c>
      <c r="J274">
        <f t="shared" si="18"/>
        <v>2</v>
      </c>
      <c r="K274">
        <f t="shared" si="19"/>
        <v>71.95</v>
      </c>
    </row>
    <row r="275" spans="1:11" x14ac:dyDescent="0.35">
      <c r="A275" s="12" t="s">
        <v>281</v>
      </c>
      <c r="B275" s="13">
        <v>8</v>
      </c>
      <c r="C275" s="1">
        <v>45875.343009259261</v>
      </c>
      <c r="D275" s="13">
        <v>143.59</v>
      </c>
      <c r="H275" t="str">
        <f t="shared" si="16"/>
        <v>CUST0285</v>
      </c>
      <c r="I275" s="16">
        <f t="shared" ca="1" si="17"/>
        <v>154.65699074073927</v>
      </c>
      <c r="J275">
        <f t="shared" si="18"/>
        <v>8</v>
      </c>
      <c r="K275">
        <f t="shared" si="19"/>
        <v>143.59</v>
      </c>
    </row>
    <row r="276" spans="1:11" x14ac:dyDescent="0.35">
      <c r="A276" s="12" t="s">
        <v>68</v>
      </c>
      <c r="B276" s="13">
        <v>2</v>
      </c>
      <c r="C276" s="1">
        <v>45940.343009259261</v>
      </c>
      <c r="D276" s="13">
        <v>15.41</v>
      </c>
      <c r="H276" t="str">
        <f t="shared" si="16"/>
        <v>CUST0286</v>
      </c>
      <c r="I276" s="16">
        <f t="shared" ca="1" si="17"/>
        <v>89.656990740739275</v>
      </c>
      <c r="J276">
        <f t="shared" si="18"/>
        <v>2</v>
      </c>
      <c r="K276">
        <f t="shared" si="19"/>
        <v>15.41</v>
      </c>
    </row>
    <row r="277" spans="1:11" x14ac:dyDescent="0.35">
      <c r="A277" s="12" t="s">
        <v>221</v>
      </c>
      <c r="B277" s="13">
        <v>4</v>
      </c>
      <c r="C277" s="1">
        <v>45935.343009259261</v>
      </c>
      <c r="D277" s="13">
        <v>40.15</v>
      </c>
      <c r="H277" t="str">
        <f t="shared" si="16"/>
        <v>CUST0287</v>
      </c>
      <c r="I277" s="16">
        <f t="shared" ca="1" si="17"/>
        <v>94.656990740739275</v>
      </c>
      <c r="J277">
        <f t="shared" si="18"/>
        <v>4</v>
      </c>
      <c r="K277">
        <f t="shared" si="19"/>
        <v>40.15</v>
      </c>
    </row>
    <row r="278" spans="1:11" x14ac:dyDescent="0.35">
      <c r="A278" s="12" t="s">
        <v>98</v>
      </c>
      <c r="B278" s="13">
        <v>7</v>
      </c>
      <c r="C278" s="1">
        <v>45913.343009259261</v>
      </c>
      <c r="D278" s="13">
        <v>88.53</v>
      </c>
      <c r="H278" t="str">
        <f t="shared" si="16"/>
        <v>CUST0288</v>
      </c>
      <c r="I278" s="16">
        <f t="shared" ca="1" si="17"/>
        <v>116.65699074073927</v>
      </c>
      <c r="J278">
        <f t="shared" si="18"/>
        <v>7</v>
      </c>
      <c r="K278">
        <f t="shared" si="19"/>
        <v>88.53</v>
      </c>
    </row>
    <row r="279" spans="1:11" x14ac:dyDescent="0.35">
      <c r="A279" s="12" t="s">
        <v>134</v>
      </c>
      <c r="B279" s="13">
        <v>7</v>
      </c>
      <c r="C279" s="1">
        <v>45877.343009259261</v>
      </c>
      <c r="D279" s="13">
        <v>121.16999999999999</v>
      </c>
      <c r="H279" t="str">
        <f t="shared" si="16"/>
        <v>CUST0289</v>
      </c>
      <c r="I279" s="16">
        <f t="shared" ca="1" si="17"/>
        <v>152.65699074073927</v>
      </c>
      <c r="J279">
        <f t="shared" si="18"/>
        <v>7</v>
      </c>
      <c r="K279">
        <f t="shared" si="19"/>
        <v>121.16999999999999</v>
      </c>
    </row>
    <row r="280" spans="1:11" x14ac:dyDescent="0.35">
      <c r="A280" s="12" t="s">
        <v>1142</v>
      </c>
      <c r="B280" s="13">
        <v>2</v>
      </c>
      <c r="C280" s="1">
        <v>45728.343009259261</v>
      </c>
      <c r="D280" s="13">
        <v>69.789999999999992</v>
      </c>
      <c r="H280" t="str">
        <f t="shared" si="16"/>
        <v>CUST0290</v>
      </c>
      <c r="I280" s="16">
        <f t="shared" ca="1" si="17"/>
        <v>301.65699074073927</v>
      </c>
      <c r="J280">
        <f t="shared" si="18"/>
        <v>2</v>
      </c>
      <c r="K280">
        <f t="shared" si="19"/>
        <v>69.789999999999992</v>
      </c>
    </row>
    <row r="281" spans="1:11" x14ac:dyDescent="0.35">
      <c r="A281" s="12" t="s">
        <v>70</v>
      </c>
      <c r="B281" s="13">
        <v>6</v>
      </c>
      <c r="C281" s="1">
        <v>45941.343009259261</v>
      </c>
      <c r="D281" s="13">
        <v>125.53</v>
      </c>
      <c r="H281" t="str">
        <f t="shared" si="16"/>
        <v>CUST0291</v>
      </c>
      <c r="I281" s="16">
        <f t="shared" ca="1" si="17"/>
        <v>88.656990740739275</v>
      </c>
      <c r="J281">
        <f t="shared" si="18"/>
        <v>6</v>
      </c>
      <c r="K281">
        <f t="shared" si="19"/>
        <v>125.53</v>
      </c>
    </row>
    <row r="282" spans="1:11" x14ac:dyDescent="0.35">
      <c r="A282" s="12" t="s">
        <v>181</v>
      </c>
      <c r="B282" s="13">
        <v>3</v>
      </c>
      <c r="C282" s="1">
        <v>45896.343009259261</v>
      </c>
      <c r="D282" s="13">
        <v>69.42</v>
      </c>
      <c r="H282" t="str">
        <f t="shared" si="16"/>
        <v>CUST0292</v>
      </c>
      <c r="I282" s="16">
        <f t="shared" ca="1" si="17"/>
        <v>133.65699074073927</v>
      </c>
      <c r="J282">
        <f t="shared" si="18"/>
        <v>3</v>
      </c>
      <c r="K282">
        <f t="shared" si="19"/>
        <v>69.42</v>
      </c>
    </row>
    <row r="283" spans="1:11" x14ac:dyDescent="0.35">
      <c r="A283" s="12" t="s">
        <v>213</v>
      </c>
      <c r="B283" s="13">
        <v>12</v>
      </c>
      <c r="C283" s="1">
        <v>45944.343009259261</v>
      </c>
      <c r="D283" s="13">
        <v>190.97</v>
      </c>
      <c r="H283" t="str">
        <f t="shared" si="16"/>
        <v>CUST0293</v>
      </c>
      <c r="I283" s="16">
        <f t="shared" ca="1" si="17"/>
        <v>85.656990740739275</v>
      </c>
      <c r="J283">
        <f t="shared" si="18"/>
        <v>12</v>
      </c>
      <c r="K283">
        <f t="shared" si="19"/>
        <v>190.97</v>
      </c>
    </row>
    <row r="284" spans="1:11" x14ac:dyDescent="0.35">
      <c r="A284" s="12" t="s">
        <v>155</v>
      </c>
      <c r="B284" s="13">
        <v>3</v>
      </c>
      <c r="C284" s="1">
        <v>45836.343009259261</v>
      </c>
      <c r="D284" s="13">
        <v>59.379999999999995</v>
      </c>
      <c r="H284" t="str">
        <f t="shared" si="16"/>
        <v>CUST0294</v>
      </c>
      <c r="I284" s="16">
        <f t="shared" ca="1" si="17"/>
        <v>193.65699074073927</v>
      </c>
      <c r="J284">
        <f t="shared" si="18"/>
        <v>3</v>
      </c>
      <c r="K284">
        <f t="shared" si="19"/>
        <v>59.379999999999995</v>
      </c>
    </row>
    <row r="285" spans="1:11" x14ac:dyDescent="0.35">
      <c r="A285" s="12" t="s">
        <v>92</v>
      </c>
      <c r="B285" s="13">
        <v>5</v>
      </c>
      <c r="C285" s="1">
        <v>45870.343009259261</v>
      </c>
      <c r="D285" s="13">
        <v>57.31</v>
      </c>
      <c r="H285" t="str">
        <f t="shared" si="16"/>
        <v>CUST0295</v>
      </c>
      <c r="I285" s="16">
        <f t="shared" ca="1" si="17"/>
        <v>159.65699074073927</v>
      </c>
      <c r="J285">
        <f t="shared" si="18"/>
        <v>5</v>
      </c>
      <c r="K285">
        <f t="shared" si="19"/>
        <v>57.31</v>
      </c>
    </row>
    <row r="286" spans="1:11" x14ac:dyDescent="0.35">
      <c r="A286" s="12" t="s">
        <v>58</v>
      </c>
      <c r="B286" s="13">
        <v>5</v>
      </c>
      <c r="C286" s="1">
        <v>45915.343009259261</v>
      </c>
      <c r="D286" s="13">
        <v>97.41</v>
      </c>
      <c r="H286" t="str">
        <f t="shared" si="16"/>
        <v>CUST0296</v>
      </c>
      <c r="I286" s="16">
        <f t="shared" ca="1" si="17"/>
        <v>114.65699074073927</v>
      </c>
      <c r="J286">
        <f t="shared" si="18"/>
        <v>5</v>
      </c>
      <c r="K286">
        <f t="shared" si="19"/>
        <v>97.41</v>
      </c>
    </row>
    <row r="287" spans="1:11" x14ac:dyDescent="0.35">
      <c r="A287" s="12" t="s">
        <v>228</v>
      </c>
      <c r="B287" s="13">
        <v>2</v>
      </c>
      <c r="C287" s="1">
        <v>45955.343009259261</v>
      </c>
      <c r="D287" s="13">
        <v>41.12</v>
      </c>
      <c r="H287" t="str">
        <f t="shared" si="16"/>
        <v>CUST0297</v>
      </c>
      <c r="I287" s="16">
        <f t="shared" ca="1" si="17"/>
        <v>74.656990740739275</v>
      </c>
      <c r="J287">
        <f t="shared" si="18"/>
        <v>2</v>
      </c>
      <c r="K287">
        <f t="shared" si="19"/>
        <v>41.12</v>
      </c>
    </row>
    <row r="288" spans="1:11" x14ac:dyDescent="0.35">
      <c r="A288" s="12" t="s">
        <v>1052</v>
      </c>
      <c r="B288" s="13">
        <v>2</v>
      </c>
      <c r="C288" s="1">
        <v>45913.343009259261</v>
      </c>
      <c r="D288" s="13">
        <v>28.03</v>
      </c>
      <c r="H288" t="str">
        <f t="shared" si="16"/>
        <v>CUST0298</v>
      </c>
      <c r="I288" s="16">
        <f t="shared" ca="1" si="17"/>
        <v>116.65699074073927</v>
      </c>
      <c r="J288">
        <f t="shared" si="18"/>
        <v>2</v>
      </c>
      <c r="K288">
        <f t="shared" si="19"/>
        <v>28.03</v>
      </c>
    </row>
    <row r="289" spans="1:11" x14ac:dyDescent="0.35">
      <c r="A289" s="12" t="s">
        <v>185</v>
      </c>
      <c r="B289" s="13">
        <v>2</v>
      </c>
      <c r="C289" s="1">
        <v>45955.343009259261</v>
      </c>
      <c r="D289" s="13">
        <v>36.299999999999997</v>
      </c>
      <c r="H289" t="str">
        <f t="shared" si="16"/>
        <v>CUST0299</v>
      </c>
      <c r="I289" s="16">
        <f t="shared" ca="1" si="17"/>
        <v>74.656990740739275</v>
      </c>
      <c r="J289">
        <f t="shared" si="18"/>
        <v>2</v>
      </c>
      <c r="K289">
        <f t="shared" si="19"/>
        <v>36.299999999999997</v>
      </c>
    </row>
    <row r="290" spans="1:11" x14ac:dyDescent="0.35">
      <c r="A290" s="12" t="s">
        <v>1000</v>
      </c>
      <c r="B290" s="13">
        <v>2</v>
      </c>
      <c r="C290" s="1">
        <v>45846.343009259261</v>
      </c>
      <c r="D290" s="13">
        <v>48.06</v>
      </c>
      <c r="H290" t="str">
        <f t="shared" si="16"/>
        <v>CUST0300</v>
      </c>
      <c r="I290" s="16">
        <f t="shared" ca="1" si="17"/>
        <v>183.65699074073927</v>
      </c>
      <c r="J290">
        <f t="shared" si="18"/>
        <v>2</v>
      </c>
      <c r="K290">
        <f t="shared" si="19"/>
        <v>48.06</v>
      </c>
    </row>
    <row r="291" spans="1:11" x14ac:dyDescent="0.35">
      <c r="A291" s="12" t="s">
        <v>1299</v>
      </c>
      <c r="B291" s="13">
        <v>1000</v>
      </c>
      <c r="C291" s="1">
        <v>45960.343009259261</v>
      </c>
      <c r="D291" s="13">
        <v>17209.440000000002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0375-B22F-48F1-A664-331E330F437D}">
  <dimension ref="Q10"/>
  <sheetViews>
    <sheetView showGridLines="0" tabSelected="1" workbookViewId="0">
      <selection activeCell="B12" sqref="B12"/>
    </sheetView>
  </sheetViews>
  <sheetFormatPr defaultRowHeight="14.5" x14ac:dyDescent="0.35"/>
  <sheetData>
    <row r="10" spans="17:17" x14ac:dyDescent="0.35">
      <c r="Q10">
        <v>0.36822418751941516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A3BC-36D7-4CA0-B4D3-7EBAFFB76985}">
  <dimension ref="A1:S1001"/>
  <sheetViews>
    <sheetView topLeftCell="H1" workbookViewId="0">
      <selection activeCell="R10" sqref="R10"/>
    </sheetView>
  </sheetViews>
  <sheetFormatPr defaultRowHeight="14.5" x14ac:dyDescent="0.35"/>
  <cols>
    <col min="1" max="1" width="12" bestFit="1" customWidth="1"/>
    <col min="2" max="2" width="11.453125" bestFit="1" customWidth="1"/>
    <col min="3" max="3" width="10.7265625" bestFit="1" customWidth="1"/>
    <col min="4" max="4" width="13.26953125" bestFit="1" customWidth="1"/>
    <col min="5" max="5" width="11.26953125" bestFit="1" customWidth="1"/>
    <col min="9" max="9" width="10.6328125" bestFit="1" customWidth="1"/>
    <col min="10" max="10" width="12.90625" bestFit="1" customWidth="1"/>
    <col min="11" max="11" width="12" bestFit="1" customWidth="1"/>
    <col min="12" max="12" width="11.26953125" bestFit="1" customWidth="1"/>
    <col min="13" max="13" width="12.54296875" bestFit="1" customWidth="1"/>
    <col min="14" max="14" width="14.54296875" bestFit="1" customWidth="1"/>
    <col min="15" max="15" width="14" bestFit="1" customWidth="1"/>
    <col min="16" max="16" width="9.54296875" bestFit="1" customWidth="1"/>
    <col min="17" max="17" width="17.7265625" bestFit="1" customWidth="1"/>
  </cols>
  <sheetData>
    <row r="1" spans="1:19" ht="20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I1" s="20" t="s">
        <v>1307</v>
      </c>
      <c r="J1" s="20"/>
      <c r="K1" s="20"/>
      <c r="L1" s="20"/>
      <c r="M1" s="20"/>
      <c r="N1" s="20"/>
      <c r="O1" s="20"/>
      <c r="P1" s="20"/>
      <c r="Q1" s="20"/>
    </row>
    <row r="2" spans="1:19" ht="16" x14ac:dyDescent="0.45">
      <c r="A2" t="s">
        <v>5</v>
      </c>
      <c r="B2" t="s">
        <v>6</v>
      </c>
      <c r="C2" s="1">
        <v>45698.343007002317</v>
      </c>
      <c r="D2" t="s">
        <v>7</v>
      </c>
      <c r="E2">
        <v>45.41</v>
      </c>
      <c r="I2" s="19" t="s">
        <v>1303</v>
      </c>
      <c r="J2" s="19" t="s">
        <v>1304</v>
      </c>
      <c r="K2" s="19" t="s">
        <v>1305</v>
      </c>
      <c r="L2" s="19" t="s">
        <v>1306</v>
      </c>
      <c r="M2" s="19" t="s">
        <v>1308</v>
      </c>
      <c r="N2" s="19" t="s">
        <v>1309</v>
      </c>
      <c r="O2" s="19" t="s">
        <v>1310</v>
      </c>
      <c r="P2" s="19" t="s">
        <v>1311</v>
      </c>
      <c r="Q2" s="19" t="s">
        <v>1312</v>
      </c>
    </row>
    <row r="3" spans="1:19" x14ac:dyDescent="0.35">
      <c r="A3" t="s">
        <v>8</v>
      </c>
      <c r="B3" t="s">
        <v>9</v>
      </c>
      <c r="C3" s="1">
        <v>45944.343007002317</v>
      </c>
      <c r="D3" t="s">
        <v>10</v>
      </c>
      <c r="E3">
        <v>13.71</v>
      </c>
      <c r="I3" s="17" t="s">
        <v>56</v>
      </c>
      <c r="J3" s="18">
        <v>99.656990740739275</v>
      </c>
      <c r="K3" s="17">
        <v>5</v>
      </c>
      <c r="L3" s="17">
        <v>64.5</v>
      </c>
      <c r="M3" s="17" cm="1">
        <f t="array" ref="M3">_xlfn.IFS(AND(J3&gt;=65,J3&lt;=141),5,AND(J3&gt;141,J3&lt;=213),4,AND(J3&gt;213,J3&lt;=285),3,AND(J3&gt;285,J3&lt;=357),2,AND(J3&gt;357,J3&lt;=430),1)</f>
        <v>5</v>
      </c>
      <c r="N3" s="17" cm="1">
        <f t="array" ref="N3">_xlfn.IFS(AND(K3&gt;=1,K3&lt;=2),1,AND(K3&gt;=3,K3&lt;=4),2,AND(K3&gt;=5,K3&lt;=6),3,AND(K3&gt;=6,K3&lt;=9),4,AND(K3&gt;=10,K3&lt;=12),5)</f>
        <v>3</v>
      </c>
      <c r="O3" s="17" cm="1">
        <f t="array" ref="O3">_xlfn.IFS(AND(L3&gt;=4.1,L3&lt;=41.49),1,AND(L3&gt;=41.5,L3&lt;=78.86),2,AND(L3&gt;=78.87,L3&lt;=116.23),3,AND(L3&gt;=116.24,L3&lt;=153.6),4,AND(L3&gt;=153.61,L3&lt;=190.97),5)</f>
        <v>2</v>
      </c>
      <c r="P3" s="17">
        <f>SUM(M3:O3)</f>
        <v>10</v>
      </c>
      <c r="Q3" s="17" t="str" cm="1">
        <f t="array" ref="Q3">_xlfn.IFS(P3&gt;=14,"Best Customers",AND(P3&gt;=10,P3&lt;14),"Loyal Customers",AND(P3&gt;=7,P3&lt;10),"Potential Customers",AND(P3&gt;=4,P3&lt;7),"Need Attention",P3&lt;4,"At Risk")</f>
        <v>Loyal Customers</v>
      </c>
    </row>
    <row r="4" spans="1:19" x14ac:dyDescent="0.35">
      <c r="A4" t="s">
        <v>11</v>
      </c>
      <c r="B4" t="s">
        <v>12</v>
      </c>
      <c r="C4" s="1">
        <v>45866.343007002317</v>
      </c>
      <c r="D4" t="s">
        <v>13</v>
      </c>
      <c r="E4">
        <v>11.66</v>
      </c>
      <c r="I4" s="17" t="s">
        <v>400</v>
      </c>
      <c r="J4" s="18">
        <v>69.656990740739275</v>
      </c>
      <c r="K4" s="17">
        <v>4</v>
      </c>
      <c r="L4" s="17">
        <v>53.9</v>
      </c>
      <c r="M4" s="17" cm="1">
        <f t="array" ref="M4">_xlfn.IFS(AND(J4&gt;=65,J4&lt;=141),5,AND(J4&gt;141,J4&lt;=213),4,AND(J4&gt;213,J4&lt;=285),3,AND(J4&gt;285,J4&lt;=357),2,AND(J4&gt;357,J4&lt;=430),1)</f>
        <v>5</v>
      </c>
      <c r="N4" s="17" cm="1">
        <f t="array" ref="N4">_xlfn.IFS(AND(K4&gt;=1,K4&lt;=2),1,AND(K4&gt;=3,K4&lt;=4),2,AND(K4&gt;=5,K4&lt;=6),3,AND(K4&gt;=6,K4&lt;=9),4,AND(K4&gt;=10,K4&lt;=12),5)</f>
        <v>2</v>
      </c>
      <c r="O4" s="17" cm="1">
        <f t="array" ref="O4">_xlfn.IFS(AND(L4&gt;=4.1,L4&lt;=41.49),1,AND(L4&gt;=41.5,L4&lt;=78.86),2,AND(L4&gt;=78.87,L4&lt;=116.23),3,AND(L4&gt;=116.24,L4&lt;=153.6),4,AND(L4&gt;=153.61,L4&lt;=190.97),5)</f>
        <v>2</v>
      </c>
      <c r="P4" s="17">
        <f t="shared" ref="P4:P67" si="0">SUM(M4:O4)</f>
        <v>9</v>
      </c>
      <c r="Q4" s="17" t="str" cm="1">
        <f t="array" ref="Q4">_xlfn.IFS(P4&gt;=14,"Best Customers",AND(P4&gt;=10,P4&lt;14),"Loyal Customers",AND(P4&gt;=7,P4&lt;10),"Potential Customers",AND(P4&gt;=4,P4&lt;7),"Need Attention",P4&lt;4,"At Risk")</f>
        <v>Potential Customers</v>
      </c>
    </row>
    <row r="5" spans="1:19" x14ac:dyDescent="0.35">
      <c r="A5" t="s">
        <v>14</v>
      </c>
      <c r="B5" t="s">
        <v>15</v>
      </c>
      <c r="C5" s="1">
        <v>45702.343007002317</v>
      </c>
      <c r="D5" t="s">
        <v>16</v>
      </c>
      <c r="E5">
        <v>9.07</v>
      </c>
      <c r="I5" s="17" t="s">
        <v>655</v>
      </c>
      <c r="J5" s="18">
        <v>207.65699074073927</v>
      </c>
      <c r="K5" s="17">
        <v>4</v>
      </c>
      <c r="L5" s="17">
        <v>75.75</v>
      </c>
      <c r="M5" s="17" cm="1">
        <f t="array" ref="M5">_xlfn.IFS(AND(J5&gt;=65,J5&lt;=141),5,AND(J5&gt;141,J5&lt;=213),4,AND(J5&gt;213,J5&lt;=285),3,AND(J5&gt;285,J5&lt;=357),2,AND(J5&gt;357,J5&lt;=430),1)</f>
        <v>4</v>
      </c>
      <c r="N5" s="17" cm="1">
        <f t="array" ref="N5">_xlfn.IFS(AND(K5&gt;=1,K5&lt;=2),1,AND(K5&gt;=3,K5&lt;=4),2,AND(K5&gt;=5,K5&lt;=6),3,AND(K5&gt;=6,K5&lt;=9),4,AND(K5&gt;=10,K5&lt;=12),5)</f>
        <v>2</v>
      </c>
      <c r="O5" s="17" cm="1">
        <f t="array" ref="O5">_xlfn.IFS(AND(L5&gt;=4.1,L5&lt;=41.49),1,AND(L5&gt;=41.5,L5&lt;=78.86),2,AND(L5&gt;=78.87,L5&lt;=116.23),3,AND(L5&gt;=116.24,L5&lt;=153.6),4,AND(L5&gt;=153.61,L5&lt;=190.97),5)</f>
        <v>2</v>
      </c>
      <c r="P5" s="17">
        <f t="shared" si="0"/>
        <v>8</v>
      </c>
      <c r="Q5" s="17" t="str" cm="1">
        <f t="array" ref="Q5">_xlfn.IFS(P5&gt;=14,"Best Customers",AND(P5&gt;=10,P5&lt;14),"Loyal Customers",AND(P5&gt;=7,P5&lt;10),"Potential Customers",AND(P5&gt;=4,P5&lt;7),"Need Attention",P5&lt;4,"At Risk")</f>
        <v>Potential Customers</v>
      </c>
      <c r="S5" s="14">
        <f>CORREL(L3:L289,J3:J289)</f>
        <v>-0.36262683041080179</v>
      </c>
    </row>
    <row r="6" spans="1:19" x14ac:dyDescent="0.35">
      <c r="A6" t="s">
        <v>17</v>
      </c>
      <c r="B6" t="s">
        <v>18</v>
      </c>
      <c r="C6" s="1">
        <v>45667.343007002317</v>
      </c>
      <c r="D6" t="s">
        <v>16</v>
      </c>
      <c r="E6">
        <v>11.16</v>
      </c>
      <c r="I6" s="17" t="s">
        <v>454</v>
      </c>
      <c r="J6" s="18">
        <v>119.65699074073927</v>
      </c>
      <c r="K6" s="17">
        <v>4</v>
      </c>
      <c r="L6" s="17">
        <v>123.07</v>
      </c>
      <c r="M6" s="17" cm="1">
        <f t="array" ref="M6">_xlfn.IFS(AND(J6&gt;=65,J6&lt;=141),5,AND(J6&gt;141,J6&lt;=213),4,AND(J6&gt;213,J6&lt;=285),3,AND(J6&gt;285,J6&lt;=357),2,AND(J6&gt;357,J6&lt;=430),1)</f>
        <v>5</v>
      </c>
      <c r="N6" s="17" cm="1">
        <f t="array" ref="N6">_xlfn.IFS(AND(K6&gt;=1,K6&lt;=2),1,AND(K6&gt;=3,K6&lt;=4),2,AND(K6&gt;=5,K6&lt;=6),3,AND(K6&gt;=6,K6&lt;=9),4,AND(K6&gt;=10,K6&lt;=12),5)</f>
        <v>2</v>
      </c>
      <c r="O6" s="17" cm="1">
        <f t="array" ref="O6">_xlfn.IFS(AND(L6&gt;=4.1,L6&lt;=41.49),1,AND(L6&gt;=41.5,L6&lt;=78.86),2,AND(L6&gt;=78.87,L6&lt;=116.23),3,AND(L6&gt;=116.24,L6&lt;=153.6),4,AND(L6&gt;=153.61,L6&lt;=190.97),5)</f>
        <v>4</v>
      </c>
      <c r="P6" s="17">
        <f t="shared" si="0"/>
        <v>11</v>
      </c>
      <c r="Q6" s="17" t="str" cm="1">
        <f t="array" ref="Q6">_xlfn.IFS(P6&gt;=14,"Best Customers",AND(P6&gt;=10,P6&lt;14),"Loyal Customers",AND(P6&gt;=7,P6&lt;10),"Potential Customers",AND(P6&gt;=4,P6&lt;7),"Need Attention",P6&lt;4,"At Risk")</f>
        <v>Loyal Customers</v>
      </c>
    </row>
    <row r="7" spans="1:19" x14ac:dyDescent="0.35">
      <c r="A7" t="s">
        <v>19</v>
      </c>
      <c r="B7" t="s">
        <v>20</v>
      </c>
      <c r="C7" s="1">
        <v>45784.343007002317</v>
      </c>
      <c r="D7" t="s">
        <v>10</v>
      </c>
      <c r="E7">
        <v>15.44</v>
      </c>
      <c r="I7" s="17" t="s">
        <v>76</v>
      </c>
      <c r="J7" s="18">
        <v>83.656990740739275</v>
      </c>
      <c r="K7" s="17">
        <v>4</v>
      </c>
      <c r="L7" s="17">
        <v>63.34</v>
      </c>
      <c r="M7" s="17" cm="1">
        <f t="array" ref="M7">_xlfn.IFS(AND(J7&gt;=65,J7&lt;=141),5,AND(J7&gt;141,J7&lt;=213),4,AND(J7&gt;213,J7&lt;=285),3,AND(J7&gt;285,J7&lt;=357),2,AND(J7&gt;357,J7&lt;=430),1)</f>
        <v>5</v>
      </c>
      <c r="N7" s="17" cm="1">
        <f t="array" ref="N7">_xlfn.IFS(AND(K7&gt;=1,K7&lt;=2),1,AND(K7&gt;=3,K7&lt;=4),2,AND(K7&gt;=5,K7&lt;=6),3,AND(K7&gt;=6,K7&lt;=9),4,AND(K7&gt;=10,K7&lt;=12),5)</f>
        <v>2</v>
      </c>
      <c r="O7" s="17" cm="1">
        <f t="array" ref="O7">_xlfn.IFS(AND(L7&gt;=4.1,L7&lt;=41.49),1,AND(L7&gt;=41.5,L7&lt;=78.86),2,AND(L7&gt;=78.87,L7&lt;=116.23),3,AND(L7&gt;=116.24,L7&lt;=153.6),4,AND(L7&gt;=153.61,L7&lt;=190.97),5)</f>
        <v>2</v>
      </c>
      <c r="P7" s="17">
        <f t="shared" si="0"/>
        <v>9</v>
      </c>
      <c r="Q7" s="17" t="str" cm="1">
        <f t="array" ref="Q7">_xlfn.IFS(P7&gt;=14,"Best Customers",AND(P7&gt;=10,P7&lt;14),"Loyal Customers",AND(P7&gt;=7,P7&lt;10),"Potential Customers",AND(P7&gt;=4,P7&lt;7),"Need Attention",P7&lt;4,"At Risk")</f>
        <v>Potential Customers</v>
      </c>
      <c r="S7" s="14">
        <f>CORREL(K3:K289,L3:L289)</f>
        <v>0.82112539870447898</v>
      </c>
    </row>
    <row r="8" spans="1:19" x14ac:dyDescent="0.35">
      <c r="A8" t="s">
        <v>21</v>
      </c>
      <c r="B8" t="s">
        <v>22</v>
      </c>
      <c r="C8" s="1">
        <v>45616.343007002317</v>
      </c>
      <c r="D8" t="s">
        <v>13</v>
      </c>
      <c r="E8">
        <v>12.76</v>
      </c>
      <c r="I8" s="17" t="s">
        <v>380</v>
      </c>
      <c r="J8" s="18">
        <v>211.65699074073927</v>
      </c>
      <c r="K8" s="17">
        <v>5</v>
      </c>
      <c r="L8" s="17">
        <v>104.63000000000001</v>
      </c>
      <c r="M8" s="17" cm="1">
        <f t="array" ref="M8">_xlfn.IFS(AND(J8&gt;=65,J8&lt;=141),5,AND(J8&gt;141,J8&lt;=213),4,AND(J8&gt;213,J8&lt;=285),3,AND(J8&gt;285,J8&lt;=357),2,AND(J8&gt;357,J8&lt;=430),1)</f>
        <v>4</v>
      </c>
      <c r="N8" s="17" cm="1">
        <f t="array" ref="N8">_xlfn.IFS(AND(K8&gt;=1,K8&lt;=2),1,AND(K8&gt;=3,K8&lt;=4),2,AND(K8&gt;=5,K8&lt;=6),3,AND(K8&gt;=6,K8&lt;=9),4,AND(K8&gt;=10,K8&lt;=12),5)</f>
        <v>3</v>
      </c>
      <c r="O8" s="17" cm="1">
        <f t="array" ref="O8">_xlfn.IFS(AND(L8&gt;=4.1,L8&lt;=41.49),1,AND(L8&gt;=41.5,L8&lt;=78.86),2,AND(L8&gt;=78.87,L8&lt;=116.23),3,AND(L8&gt;=116.24,L8&lt;=153.6),4,AND(L8&gt;=153.61,L8&lt;=190.97),5)</f>
        <v>3</v>
      </c>
      <c r="P8" s="17">
        <f t="shared" si="0"/>
        <v>10</v>
      </c>
      <c r="Q8" s="17" t="str" cm="1">
        <f t="array" ref="Q8">_xlfn.IFS(P8&gt;=14,"Best Customers",AND(P8&gt;=10,P8&lt;14),"Loyal Customers",AND(P8&gt;=7,P8&lt;10),"Potential Customers",AND(P8&gt;=4,P8&lt;7),"Need Attention",P8&lt;4,"At Risk")</f>
        <v>Loyal Customers</v>
      </c>
    </row>
    <row r="9" spans="1:19" x14ac:dyDescent="0.35">
      <c r="A9" t="s">
        <v>23</v>
      </c>
      <c r="B9" t="s">
        <v>24</v>
      </c>
      <c r="C9" s="1">
        <v>45698.343007002317</v>
      </c>
      <c r="D9" t="s">
        <v>10</v>
      </c>
      <c r="E9">
        <v>13.51</v>
      </c>
      <c r="I9" s="17" t="s">
        <v>349</v>
      </c>
      <c r="J9" s="18">
        <v>113.65699074073927</v>
      </c>
      <c r="K9" s="17">
        <v>4</v>
      </c>
      <c r="L9" s="17">
        <v>106.62</v>
      </c>
      <c r="M9" s="17" cm="1">
        <f t="array" ref="M9">_xlfn.IFS(AND(J9&gt;=65,J9&lt;=141),5,AND(J9&gt;141,J9&lt;=213),4,AND(J9&gt;213,J9&lt;=285),3,AND(J9&gt;285,J9&lt;=357),2,AND(J9&gt;357,J9&lt;=430),1)</f>
        <v>5</v>
      </c>
      <c r="N9" s="17" cm="1">
        <f t="array" ref="N9">_xlfn.IFS(AND(K9&gt;=1,K9&lt;=2),1,AND(K9&gt;=3,K9&lt;=4),2,AND(K9&gt;=5,K9&lt;=6),3,AND(K9&gt;=6,K9&lt;=9),4,AND(K9&gt;=10,K9&lt;=12),5)</f>
        <v>2</v>
      </c>
      <c r="O9" s="17" cm="1">
        <f t="array" ref="O9">_xlfn.IFS(AND(L9&gt;=4.1,L9&lt;=41.49),1,AND(L9&gt;=41.5,L9&lt;=78.86),2,AND(L9&gt;=78.87,L9&lt;=116.23),3,AND(L9&gt;=116.24,L9&lt;=153.6),4,AND(L9&gt;=153.61,L9&lt;=190.97),5)</f>
        <v>3</v>
      </c>
      <c r="P9" s="17">
        <f t="shared" si="0"/>
        <v>10</v>
      </c>
      <c r="Q9" s="17" t="str" cm="1">
        <f t="array" ref="Q9">_xlfn.IFS(P9&gt;=14,"Best Customers",AND(P9&gt;=10,P9&lt;14),"Loyal Customers",AND(P9&gt;=7,P9&lt;10),"Potential Customers",AND(P9&gt;=4,P9&lt;7),"Need Attention",P9&lt;4,"At Risk")</f>
        <v>Loyal Customers</v>
      </c>
    </row>
    <row r="10" spans="1:19" x14ac:dyDescent="0.35">
      <c r="A10" t="s">
        <v>25</v>
      </c>
      <c r="B10" t="s">
        <v>26</v>
      </c>
      <c r="C10" s="1">
        <v>45717.343007002317</v>
      </c>
      <c r="D10" t="s">
        <v>7</v>
      </c>
      <c r="E10">
        <v>35.520000000000003</v>
      </c>
      <c r="I10" s="17" t="s">
        <v>439</v>
      </c>
      <c r="J10" s="18">
        <v>88.656990740739275</v>
      </c>
      <c r="K10" s="17">
        <v>6</v>
      </c>
      <c r="L10" s="17">
        <v>139.02000000000001</v>
      </c>
      <c r="M10" s="17" cm="1">
        <f t="array" ref="M10">_xlfn.IFS(AND(J10&gt;=65,J10&lt;=141),5,AND(J10&gt;141,J10&lt;=213),4,AND(J10&gt;213,J10&lt;=285),3,AND(J10&gt;285,J10&lt;=357),2,AND(J10&gt;357,J10&lt;=430),1)</f>
        <v>5</v>
      </c>
      <c r="N10" s="17" cm="1">
        <f t="array" ref="N10">_xlfn.IFS(AND(K10&gt;=1,K10&lt;=2),1,AND(K10&gt;=3,K10&lt;=4),2,AND(K10&gt;=5,K10&lt;=6),3,AND(K10&gt;=6,K10&lt;=9),4,AND(K10&gt;=10,K10&lt;=12),5)</f>
        <v>3</v>
      </c>
      <c r="O10" s="17" cm="1">
        <f t="array" ref="O10">_xlfn.IFS(AND(L10&gt;=4.1,L10&lt;=41.49),1,AND(L10&gt;=41.5,L10&lt;=78.86),2,AND(L10&gt;=78.87,L10&lt;=116.23),3,AND(L10&gt;=116.24,L10&lt;=153.6),4,AND(L10&gt;=153.61,L10&lt;=190.97),5)</f>
        <v>4</v>
      </c>
      <c r="P10" s="17">
        <f t="shared" si="0"/>
        <v>12</v>
      </c>
      <c r="Q10" s="17" t="str" cm="1">
        <f t="array" ref="Q10">_xlfn.IFS(P10&gt;=14,"Best Customers",AND(P10&gt;=10,P10&lt;14),"Loyal Customers",AND(P10&gt;=7,P10&lt;10),"Potential Customers",AND(P10&gt;=4,P10&lt;7),"Need Attention",P10&lt;4,"At Risk")</f>
        <v>Loyal Customers</v>
      </c>
    </row>
    <row r="11" spans="1:19" x14ac:dyDescent="0.35">
      <c r="A11" t="s">
        <v>27</v>
      </c>
      <c r="B11" t="s">
        <v>28</v>
      </c>
      <c r="C11" s="1">
        <v>45810.343007002317</v>
      </c>
      <c r="D11" t="s">
        <v>29</v>
      </c>
      <c r="E11">
        <v>24.88</v>
      </c>
      <c r="I11" s="17" t="s">
        <v>15</v>
      </c>
      <c r="J11" s="18">
        <v>93.656990740739275</v>
      </c>
      <c r="K11" s="17">
        <v>4</v>
      </c>
      <c r="L11" s="17">
        <v>35.17</v>
      </c>
      <c r="M11" s="17" cm="1">
        <f t="array" ref="M11">_xlfn.IFS(AND(J11&gt;=65,J11&lt;=141),5,AND(J11&gt;141,J11&lt;=213),4,AND(J11&gt;213,J11&lt;=285),3,AND(J11&gt;285,J11&lt;=357),2,AND(J11&gt;357,J11&lt;=430),1)</f>
        <v>5</v>
      </c>
      <c r="N11" s="17" cm="1">
        <f t="array" ref="N11">_xlfn.IFS(AND(K11&gt;=1,K11&lt;=2),1,AND(K11&gt;=3,K11&lt;=4),2,AND(K11&gt;=5,K11&lt;=6),3,AND(K11&gt;=6,K11&lt;=9),4,AND(K11&gt;=10,K11&lt;=12),5)</f>
        <v>2</v>
      </c>
      <c r="O11" s="17" cm="1">
        <f t="array" ref="O11">_xlfn.IFS(AND(L11&gt;=4.1,L11&lt;=41.49),1,AND(L11&gt;=41.5,L11&lt;=78.86),2,AND(L11&gt;=78.87,L11&lt;=116.23),3,AND(L11&gt;=116.24,L11&lt;=153.6),4,AND(L11&gt;=153.61,L11&lt;=190.97),5)</f>
        <v>1</v>
      </c>
      <c r="P11" s="17">
        <f t="shared" si="0"/>
        <v>8</v>
      </c>
      <c r="Q11" s="17" t="str" cm="1">
        <f t="array" ref="Q11">_xlfn.IFS(P11&gt;=14,"Best Customers",AND(P11&gt;=10,P11&lt;14),"Loyal Customers",AND(P11&gt;=7,P11&lt;10),"Potential Customers",AND(P11&gt;=4,P11&lt;7),"Need Attention",P11&lt;4,"At Risk")</f>
        <v>Potential Customers</v>
      </c>
    </row>
    <row r="12" spans="1:19" x14ac:dyDescent="0.35">
      <c r="A12" t="s">
        <v>30</v>
      </c>
      <c r="B12" t="s">
        <v>31</v>
      </c>
      <c r="C12" s="1">
        <v>45926.343007002317</v>
      </c>
      <c r="D12" t="s">
        <v>16</v>
      </c>
      <c r="E12">
        <v>10.95</v>
      </c>
      <c r="I12" s="17" t="s">
        <v>192</v>
      </c>
      <c r="J12" s="18">
        <v>86.656990740739275</v>
      </c>
      <c r="K12" s="17">
        <v>6</v>
      </c>
      <c r="L12" s="17">
        <v>128.11000000000001</v>
      </c>
      <c r="M12" s="17" cm="1">
        <f t="array" ref="M12">_xlfn.IFS(AND(J12&gt;=65,J12&lt;=141),5,AND(J12&gt;141,J12&lt;=213),4,AND(J12&gt;213,J12&lt;=285),3,AND(J12&gt;285,J12&lt;=357),2,AND(J12&gt;357,J12&lt;=430),1)</f>
        <v>5</v>
      </c>
      <c r="N12" s="17" cm="1">
        <f t="array" ref="N12">_xlfn.IFS(AND(K12&gt;=1,K12&lt;=2),1,AND(K12&gt;=3,K12&lt;=4),2,AND(K12&gt;=5,K12&lt;=6),3,AND(K12&gt;=6,K12&lt;=9),4,AND(K12&gt;=10,K12&lt;=12),5)</f>
        <v>3</v>
      </c>
      <c r="O12" s="17" cm="1">
        <f t="array" ref="O12">_xlfn.IFS(AND(L12&gt;=4.1,L12&lt;=41.49),1,AND(L12&gt;=41.5,L12&lt;=78.86),2,AND(L12&gt;=78.87,L12&lt;=116.23),3,AND(L12&gt;=116.24,L12&lt;=153.6),4,AND(L12&gt;=153.61,L12&lt;=190.97),5)</f>
        <v>4</v>
      </c>
      <c r="P12" s="17">
        <f t="shared" si="0"/>
        <v>12</v>
      </c>
      <c r="Q12" s="17" t="str" cm="1">
        <f t="array" ref="Q12">_xlfn.IFS(P12&gt;=14,"Best Customers",AND(P12&gt;=10,P12&lt;14),"Loyal Customers",AND(P12&gt;=7,P12&lt;10),"Potential Customers",AND(P12&gt;=4,P12&lt;7),"Need Attention",P12&lt;4,"At Risk")</f>
        <v>Loyal Customers</v>
      </c>
    </row>
    <row r="13" spans="1:19" x14ac:dyDescent="0.35">
      <c r="A13" t="s">
        <v>32</v>
      </c>
      <c r="B13" t="s">
        <v>33</v>
      </c>
      <c r="C13" s="1">
        <v>45683.343007002317</v>
      </c>
      <c r="D13" t="s">
        <v>7</v>
      </c>
      <c r="E13">
        <v>40.4</v>
      </c>
      <c r="I13" s="17" t="s">
        <v>560</v>
      </c>
      <c r="J13" s="18">
        <v>111.65699074073927</v>
      </c>
      <c r="K13" s="17">
        <v>9</v>
      </c>
      <c r="L13" s="17">
        <v>187.09000000000003</v>
      </c>
      <c r="M13" s="17" cm="1">
        <f t="array" ref="M13">_xlfn.IFS(AND(J13&gt;=65,J13&lt;=141),5,AND(J13&gt;141,J13&lt;=213),4,AND(J13&gt;213,J13&lt;=285),3,AND(J13&gt;285,J13&lt;=357),2,AND(J13&gt;357,J13&lt;=430),1)</f>
        <v>5</v>
      </c>
      <c r="N13" s="17" cm="1">
        <f t="array" ref="N13">_xlfn.IFS(AND(K13&gt;=1,K13&lt;=2),1,AND(K13&gt;=3,K13&lt;=4),2,AND(K13&gt;=5,K13&lt;=6),3,AND(K13&gt;=6,K13&lt;=9),4,AND(K13&gt;=10,K13&lt;=12),5)</f>
        <v>4</v>
      </c>
      <c r="O13" s="17" cm="1">
        <f t="array" ref="O13">_xlfn.IFS(AND(L13&gt;=4.1,L13&lt;=41.49),1,AND(L13&gt;=41.5,L13&lt;=78.86),2,AND(L13&gt;=78.87,L13&lt;=116.23),3,AND(L13&gt;=116.24,L13&lt;=153.6),4,AND(L13&gt;=153.61,L13&lt;=190.97),5)</f>
        <v>5</v>
      </c>
      <c r="P13" s="17">
        <f t="shared" si="0"/>
        <v>14</v>
      </c>
      <c r="Q13" s="17" t="str" cm="1">
        <f t="array" ref="Q13">_xlfn.IFS(P13&gt;=14,"Best Customers",AND(P13&gt;=10,P13&lt;14),"Loyal Customers",AND(P13&gt;=7,P13&lt;10),"Potential Customers",AND(P13&gt;=4,P13&lt;7),"Need Attention",P13&lt;4,"At Risk")</f>
        <v>Best Customers</v>
      </c>
    </row>
    <row r="14" spans="1:19" x14ac:dyDescent="0.35">
      <c r="A14" t="s">
        <v>34</v>
      </c>
      <c r="B14" t="s">
        <v>35</v>
      </c>
      <c r="C14" s="1">
        <v>45695.343007002317</v>
      </c>
      <c r="D14" t="s">
        <v>29</v>
      </c>
      <c r="E14">
        <v>20.329999999999998</v>
      </c>
      <c r="I14" s="17" t="s">
        <v>24</v>
      </c>
      <c r="J14" s="18">
        <v>77.656990740739275</v>
      </c>
      <c r="K14" s="17">
        <v>2</v>
      </c>
      <c r="L14" s="17">
        <v>30.9</v>
      </c>
      <c r="M14" s="17" cm="1">
        <f t="array" ref="M14">_xlfn.IFS(AND(J14&gt;=65,J14&lt;=141),5,AND(J14&gt;141,J14&lt;=213),4,AND(J14&gt;213,J14&lt;=285),3,AND(J14&gt;285,J14&lt;=357),2,AND(J14&gt;357,J14&lt;=430),1)</f>
        <v>5</v>
      </c>
      <c r="N14" s="17" cm="1">
        <f t="array" ref="N14">_xlfn.IFS(AND(K14&gt;=1,K14&lt;=2),1,AND(K14&gt;=3,K14&lt;=4),2,AND(K14&gt;=5,K14&lt;=6),3,AND(K14&gt;=6,K14&lt;=9),4,AND(K14&gt;=10,K14&lt;=12),5)</f>
        <v>1</v>
      </c>
      <c r="O14" s="17" cm="1">
        <f t="array" ref="O14">_xlfn.IFS(AND(L14&gt;=4.1,L14&lt;=41.49),1,AND(L14&gt;=41.5,L14&lt;=78.86),2,AND(L14&gt;=78.87,L14&lt;=116.23),3,AND(L14&gt;=116.24,L14&lt;=153.6),4,AND(L14&gt;=153.61,L14&lt;=190.97),5)</f>
        <v>1</v>
      </c>
      <c r="P14" s="17">
        <f t="shared" si="0"/>
        <v>7</v>
      </c>
      <c r="Q14" s="17" t="str" cm="1">
        <f t="array" ref="Q14">_xlfn.IFS(P14&gt;=14,"Best Customers",AND(P14&gt;=10,P14&lt;14),"Loyal Customers",AND(P14&gt;=7,P14&lt;10),"Potential Customers",AND(P14&gt;=4,P14&lt;7),"Need Attention",P14&lt;4,"At Risk")</f>
        <v>Potential Customers</v>
      </c>
    </row>
    <row r="15" spans="1:19" x14ac:dyDescent="0.35">
      <c r="A15" t="s">
        <v>36</v>
      </c>
      <c r="B15" t="s">
        <v>37</v>
      </c>
      <c r="C15" s="1">
        <v>45955.343007002317</v>
      </c>
      <c r="D15" t="s">
        <v>7</v>
      </c>
      <c r="E15">
        <v>45.9</v>
      </c>
      <c r="I15" s="17" t="s">
        <v>96</v>
      </c>
      <c r="J15" s="18">
        <v>136.65699074073927</v>
      </c>
      <c r="K15" s="17">
        <v>6</v>
      </c>
      <c r="L15" s="17">
        <v>132.01</v>
      </c>
      <c r="M15" s="17" cm="1">
        <f t="array" ref="M15">_xlfn.IFS(AND(J15&gt;=65,J15&lt;=141),5,AND(J15&gt;141,J15&lt;=213),4,AND(J15&gt;213,J15&lt;=285),3,AND(J15&gt;285,J15&lt;=357),2,AND(J15&gt;357,J15&lt;=430),1)</f>
        <v>5</v>
      </c>
      <c r="N15" s="17" cm="1">
        <f t="array" ref="N15">_xlfn.IFS(AND(K15&gt;=1,K15&lt;=2),1,AND(K15&gt;=3,K15&lt;=4),2,AND(K15&gt;=5,K15&lt;=6),3,AND(K15&gt;=6,K15&lt;=9),4,AND(K15&gt;=10,K15&lt;=12),5)</f>
        <v>3</v>
      </c>
      <c r="O15" s="17" cm="1">
        <f t="array" ref="O15">_xlfn.IFS(AND(L15&gt;=4.1,L15&lt;=41.49),1,AND(L15&gt;=41.5,L15&lt;=78.86),2,AND(L15&gt;=78.87,L15&lt;=116.23),3,AND(L15&gt;=116.24,L15&lt;=153.6),4,AND(L15&gt;=153.61,L15&lt;=190.97),5)</f>
        <v>4</v>
      </c>
      <c r="P15" s="17">
        <f t="shared" si="0"/>
        <v>12</v>
      </c>
      <c r="Q15" s="17" t="str" cm="1">
        <f t="array" ref="Q15">_xlfn.IFS(P15&gt;=14,"Best Customers",AND(P15&gt;=10,P15&lt;14),"Loyal Customers",AND(P15&gt;=7,P15&lt;10),"Potential Customers",AND(P15&gt;=4,P15&lt;7),"Need Attention",P15&lt;4,"At Risk")</f>
        <v>Loyal Customers</v>
      </c>
    </row>
    <row r="16" spans="1:19" x14ac:dyDescent="0.35">
      <c r="A16" t="s">
        <v>38</v>
      </c>
      <c r="B16" t="s">
        <v>39</v>
      </c>
      <c r="C16" s="1">
        <v>45747.343007002317</v>
      </c>
      <c r="D16" t="s">
        <v>13</v>
      </c>
      <c r="E16">
        <v>9.91</v>
      </c>
      <c r="I16" s="17" t="s">
        <v>128</v>
      </c>
      <c r="J16" s="18">
        <v>182.65699074073927</v>
      </c>
      <c r="K16" s="17">
        <v>5</v>
      </c>
      <c r="L16" s="17">
        <v>58.190000000000005</v>
      </c>
      <c r="M16" s="17" cm="1">
        <f t="array" ref="M16">_xlfn.IFS(AND(J16&gt;=65,J16&lt;=141),5,AND(J16&gt;141,J16&lt;=213),4,AND(J16&gt;213,J16&lt;=285),3,AND(J16&gt;285,J16&lt;=357),2,AND(J16&gt;357,J16&lt;=430),1)</f>
        <v>4</v>
      </c>
      <c r="N16" s="17" cm="1">
        <f t="array" ref="N16">_xlfn.IFS(AND(K16&gt;=1,K16&lt;=2),1,AND(K16&gt;=3,K16&lt;=4),2,AND(K16&gt;=5,K16&lt;=6),3,AND(K16&gt;=6,K16&lt;=9),4,AND(K16&gt;=10,K16&lt;=12),5)</f>
        <v>3</v>
      </c>
      <c r="O16" s="17" cm="1">
        <f t="array" ref="O16">_xlfn.IFS(AND(L16&gt;=4.1,L16&lt;=41.49),1,AND(L16&gt;=41.5,L16&lt;=78.86),2,AND(L16&gt;=78.87,L16&lt;=116.23),3,AND(L16&gt;=116.24,L16&lt;=153.6),4,AND(L16&gt;=153.61,L16&lt;=190.97),5)</f>
        <v>2</v>
      </c>
      <c r="P16" s="17">
        <f t="shared" si="0"/>
        <v>9</v>
      </c>
      <c r="Q16" s="17" t="str" cm="1">
        <f t="array" ref="Q16">_xlfn.IFS(P16&gt;=14,"Best Customers",AND(P16&gt;=10,P16&lt;14),"Loyal Customers",AND(P16&gt;=7,P16&lt;10),"Potential Customers",AND(P16&gt;=4,P16&lt;7),"Need Attention",P16&lt;4,"At Risk")</f>
        <v>Potential Customers</v>
      </c>
    </row>
    <row r="17" spans="1:17" x14ac:dyDescent="0.35">
      <c r="A17" t="s">
        <v>40</v>
      </c>
      <c r="B17" t="s">
        <v>41</v>
      </c>
      <c r="C17" s="1">
        <v>45726.343007002317</v>
      </c>
      <c r="D17" t="s">
        <v>16</v>
      </c>
      <c r="E17">
        <v>11.82</v>
      </c>
      <c r="I17" s="17" t="s">
        <v>590</v>
      </c>
      <c r="J17" s="18">
        <v>244.65699074073927</v>
      </c>
      <c r="K17" s="17">
        <v>2</v>
      </c>
      <c r="L17" s="17">
        <v>39.26</v>
      </c>
      <c r="M17" s="17" cm="1">
        <f t="array" ref="M17">_xlfn.IFS(AND(J17&gt;=65,J17&lt;=141),5,AND(J17&gt;141,J17&lt;=213),4,AND(J17&gt;213,J17&lt;=285),3,AND(J17&gt;285,J17&lt;=357),2,AND(J17&gt;357,J17&lt;=430),1)</f>
        <v>3</v>
      </c>
      <c r="N17" s="17" cm="1">
        <f t="array" ref="N17">_xlfn.IFS(AND(K17&gt;=1,K17&lt;=2),1,AND(K17&gt;=3,K17&lt;=4),2,AND(K17&gt;=5,K17&lt;=6),3,AND(K17&gt;=6,K17&lt;=9),4,AND(K17&gt;=10,K17&lt;=12),5)</f>
        <v>1</v>
      </c>
      <c r="O17" s="17" cm="1">
        <f t="array" ref="O17">_xlfn.IFS(AND(L17&gt;=4.1,L17&lt;=41.49),1,AND(L17&gt;=41.5,L17&lt;=78.86),2,AND(L17&gt;=78.87,L17&lt;=116.23),3,AND(L17&gt;=116.24,L17&lt;=153.6),4,AND(L17&gt;=153.61,L17&lt;=190.97),5)</f>
        <v>1</v>
      </c>
      <c r="P17" s="17">
        <f t="shared" si="0"/>
        <v>5</v>
      </c>
      <c r="Q17" s="17" t="str" cm="1">
        <f t="array" ref="Q17">_xlfn.IFS(P17&gt;=14,"Best Customers",AND(P17&gt;=10,P17&lt;14),"Loyal Customers",AND(P17&gt;=7,P17&lt;10),"Potential Customers",AND(P17&gt;=4,P17&lt;7),"Need Attention",P17&lt;4,"At Risk")</f>
        <v>Need Attention</v>
      </c>
    </row>
    <row r="18" spans="1:17" x14ac:dyDescent="0.35">
      <c r="A18" t="s">
        <v>42</v>
      </c>
      <c r="B18" t="s">
        <v>43</v>
      </c>
      <c r="C18" s="1">
        <v>45745.343007002317</v>
      </c>
      <c r="D18" t="s">
        <v>10</v>
      </c>
      <c r="E18">
        <v>12.15</v>
      </c>
      <c r="I18" s="17" t="s">
        <v>264</v>
      </c>
      <c r="J18" s="18">
        <v>161.65699074073927</v>
      </c>
      <c r="K18" s="17">
        <v>6</v>
      </c>
      <c r="L18" s="17">
        <v>90.009999999999991</v>
      </c>
      <c r="M18" s="17" cm="1">
        <f t="array" ref="M18">_xlfn.IFS(AND(J18&gt;=65,J18&lt;=141),5,AND(J18&gt;141,J18&lt;=213),4,AND(J18&gt;213,J18&lt;=285),3,AND(J18&gt;285,J18&lt;=357),2,AND(J18&gt;357,J18&lt;=430),1)</f>
        <v>4</v>
      </c>
      <c r="N18" s="17" cm="1">
        <f t="array" ref="N18">_xlfn.IFS(AND(K18&gt;=1,K18&lt;=2),1,AND(K18&gt;=3,K18&lt;=4),2,AND(K18&gt;=5,K18&lt;=6),3,AND(K18&gt;=6,K18&lt;=9),4,AND(K18&gt;=10,K18&lt;=12),5)</f>
        <v>3</v>
      </c>
      <c r="O18" s="17" cm="1">
        <f t="array" ref="O18">_xlfn.IFS(AND(L18&gt;=4.1,L18&lt;=41.49),1,AND(L18&gt;=41.5,L18&lt;=78.86),2,AND(L18&gt;=78.87,L18&lt;=116.23),3,AND(L18&gt;=116.24,L18&lt;=153.6),4,AND(L18&gt;=153.61,L18&lt;=190.97),5)</f>
        <v>3</v>
      </c>
      <c r="P18" s="17">
        <f t="shared" si="0"/>
        <v>10</v>
      </c>
      <c r="Q18" s="17" t="str" cm="1">
        <f t="array" ref="Q18">_xlfn.IFS(P18&gt;=14,"Best Customers",AND(P18&gt;=10,P18&lt;14),"Loyal Customers",AND(P18&gt;=7,P18&lt;10),"Potential Customers",AND(P18&gt;=4,P18&lt;7),"Need Attention",P18&lt;4,"At Risk")</f>
        <v>Loyal Customers</v>
      </c>
    </row>
    <row r="19" spans="1:17" x14ac:dyDescent="0.35">
      <c r="A19" t="s">
        <v>44</v>
      </c>
      <c r="B19" t="s">
        <v>45</v>
      </c>
      <c r="C19" s="1">
        <v>45904.343007002317</v>
      </c>
      <c r="D19" t="s">
        <v>10</v>
      </c>
      <c r="E19">
        <v>16.170000000000002</v>
      </c>
      <c r="I19" s="17" t="s">
        <v>317</v>
      </c>
      <c r="J19" s="18">
        <v>201.65699074073927</v>
      </c>
      <c r="K19" s="17">
        <v>2</v>
      </c>
      <c r="L19" s="17">
        <v>68.16</v>
      </c>
      <c r="M19" s="17" cm="1">
        <f t="array" ref="M19">_xlfn.IFS(AND(J19&gt;=65,J19&lt;=141),5,AND(J19&gt;141,J19&lt;=213),4,AND(J19&gt;213,J19&lt;=285),3,AND(J19&gt;285,J19&lt;=357),2,AND(J19&gt;357,J19&lt;=430),1)</f>
        <v>4</v>
      </c>
      <c r="N19" s="17" cm="1">
        <f t="array" ref="N19">_xlfn.IFS(AND(K19&gt;=1,K19&lt;=2),1,AND(K19&gt;=3,K19&lt;=4),2,AND(K19&gt;=5,K19&lt;=6),3,AND(K19&gt;=6,K19&lt;=9),4,AND(K19&gt;=10,K19&lt;=12),5)</f>
        <v>1</v>
      </c>
      <c r="O19" s="17" cm="1">
        <f t="array" ref="O19">_xlfn.IFS(AND(L19&gt;=4.1,L19&lt;=41.49),1,AND(L19&gt;=41.5,L19&lt;=78.86),2,AND(L19&gt;=78.87,L19&lt;=116.23),3,AND(L19&gt;=116.24,L19&lt;=153.6),4,AND(L19&gt;=153.61,L19&lt;=190.97),5)</f>
        <v>2</v>
      </c>
      <c r="P19" s="17">
        <f t="shared" si="0"/>
        <v>7</v>
      </c>
      <c r="Q19" s="17" t="str" cm="1">
        <f t="array" ref="Q19">_xlfn.IFS(P19&gt;=14,"Best Customers",AND(P19&gt;=10,P19&lt;14),"Loyal Customers",AND(P19&gt;=7,P19&lt;10),"Potential Customers",AND(P19&gt;=4,P19&lt;7),"Need Attention",P19&lt;4,"At Risk")</f>
        <v>Potential Customers</v>
      </c>
    </row>
    <row r="20" spans="1:17" x14ac:dyDescent="0.35">
      <c r="A20" t="s">
        <v>46</v>
      </c>
      <c r="B20" t="s">
        <v>47</v>
      </c>
      <c r="C20" s="1">
        <v>45853.343007002317</v>
      </c>
      <c r="D20" t="s">
        <v>29</v>
      </c>
      <c r="E20">
        <v>20.82</v>
      </c>
      <c r="I20" s="17" t="s">
        <v>315</v>
      </c>
      <c r="J20" s="18">
        <v>134.65699074073927</v>
      </c>
      <c r="K20" s="17">
        <v>3</v>
      </c>
      <c r="L20" s="17">
        <v>50.73</v>
      </c>
      <c r="M20" s="17" cm="1">
        <f t="array" ref="M20">_xlfn.IFS(AND(J20&gt;=65,J20&lt;=141),5,AND(J20&gt;141,J20&lt;=213),4,AND(J20&gt;213,J20&lt;=285),3,AND(J20&gt;285,J20&lt;=357),2,AND(J20&gt;357,J20&lt;=430),1)</f>
        <v>5</v>
      </c>
      <c r="N20" s="17" cm="1">
        <f t="array" ref="N20">_xlfn.IFS(AND(K20&gt;=1,K20&lt;=2),1,AND(K20&gt;=3,K20&lt;=4),2,AND(K20&gt;=5,K20&lt;=6),3,AND(K20&gt;=6,K20&lt;=9),4,AND(K20&gt;=10,K20&lt;=12),5)</f>
        <v>2</v>
      </c>
      <c r="O20" s="17" cm="1">
        <f t="array" ref="O20">_xlfn.IFS(AND(L20&gt;=4.1,L20&lt;=41.49),1,AND(L20&gt;=41.5,L20&lt;=78.86),2,AND(L20&gt;=78.87,L20&lt;=116.23),3,AND(L20&gt;=116.24,L20&lt;=153.6),4,AND(L20&gt;=153.61,L20&lt;=190.97),5)</f>
        <v>2</v>
      </c>
      <c r="P20" s="17">
        <f t="shared" si="0"/>
        <v>9</v>
      </c>
      <c r="Q20" s="17" t="str" cm="1">
        <f t="array" ref="Q20">_xlfn.IFS(P20&gt;=14,"Best Customers",AND(P20&gt;=10,P20&lt;14),"Loyal Customers",AND(P20&gt;=7,P20&lt;10),"Potential Customers",AND(P20&gt;=4,P20&lt;7),"Need Attention",P20&lt;4,"At Risk")</f>
        <v>Potential Customers</v>
      </c>
    </row>
    <row r="21" spans="1:17" x14ac:dyDescent="0.35">
      <c r="A21" t="s">
        <v>48</v>
      </c>
      <c r="B21" t="s">
        <v>49</v>
      </c>
      <c r="C21" s="1">
        <v>45939.343007002317</v>
      </c>
      <c r="D21" t="s">
        <v>50</v>
      </c>
      <c r="E21">
        <v>5.82</v>
      </c>
      <c r="I21" s="17" t="s">
        <v>411</v>
      </c>
      <c r="J21" s="18">
        <v>161.65699074073927</v>
      </c>
      <c r="K21" s="17">
        <v>4</v>
      </c>
      <c r="L21" s="17">
        <v>52.31</v>
      </c>
      <c r="M21" s="17" cm="1">
        <f t="array" ref="M21">_xlfn.IFS(AND(J21&gt;=65,J21&lt;=141),5,AND(J21&gt;141,J21&lt;=213),4,AND(J21&gt;213,J21&lt;=285),3,AND(J21&gt;285,J21&lt;=357),2,AND(J21&gt;357,J21&lt;=430),1)</f>
        <v>4</v>
      </c>
      <c r="N21" s="17" cm="1">
        <f t="array" ref="N21">_xlfn.IFS(AND(K21&gt;=1,K21&lt;=2),1,AND(K21&gt;=3,K21&lt;=4),2,AND(K21&gt;=5,K21&lt;=6),3,AND(K21&gt;=6,K21&lt;=9),4,AND(K21&gt;=10,K21&lt;=12),5)</f>
        <v>2</v>
      </c>
      <c r="O21" s="17" cm="1">
        <f t="array" ref="O21">_xlfn.IFS(AND(L21&gt;=4.1,L21&lt;=41.49),1,AND(L21&gt;=41.5,L21&lt;=78.86),2,AND(L21&gt;=78.87,L21&lt;=116.23),3,AND(L21&gt;=116.24,L21&lt;=153.6),4,AND(L21&gt;=153.61,L21&lt;=190.97),5)</f>
        <v>2</v>
      </c>
      <c r="P21" s="17">
        <f t="shared" si="0"/>
        <v>8</v>
      </c>
      <c r="Q21" s="17" t="str" cm="1">
        <f t="array" ref="Q21">_xlfn.IFS(P21&gt;=14,"Best Customers",AND(P21&gt;=10,P21&lt;14),"Loyal Customers",AND(P21&gt;=7,P21&lt;10),"Potential Customers",AND(P21&gt;=4,P21&lt;7),"Need Attention",P21&lt;4,"At Risk")</f>
        <v>Potential Customers</v>
      </c>
    </row>
    <row r="22" spans="1:17" x14ac:dyDescent="0.35">
      <c r="A22" t="s">
        <v>51</v>
      </c>
      <c r="B22" t="s">
        <v>52</v>
      </c>
      <c r="C22" s="1">
        <v>45889.343007002317</v>
      </c>
      <c r="D22" t="s">
        <v>13</v>
      </c>
      <c r="E22">
        <v>11.83</v>
      </c>
      <c r="I22" s="17" t="s">
        <v>870</v>
      </c>
      <c r="J22" s="18">
        <v>195.65699074073927</v>
      </c>
      <c r="K22" s="17">
        <v>3</v>
      </c>
      <c r="L22" s="17">
        <v>57.05</v>
      </c>
      <c r="M22" s="17" cm="1">
        <f t="array" ref="M22">_xlfn.IFS(AND(J22&gt;=65,J22&lt;=141),5,AND(J22&gt;141,J22&lt;=213),4,AND(J22&gt;213,J22&lt;=285),3,AND(J22&gt;285,J22&lt;=357),2,AND(J22&gt;357,J22&lt;=430),1)</f>
        <v>4</v>
      </c>
      <c r="N22" s="17" cm="1">
        <f t="array" ref="N22">_xlfn.IFS(AND(K22&gt;=1,K22&lt;=2),1,AND(K22&gt;=3,K22&lt;=4),2,AND(K22&gt;=5,K22&lt;=6),3,AND(K22&gt;=6,K22&lt;=9),4,AND(K22&gt;=10,K22&lt;=12),5)</f>
        <v>2</v>
      </c>
      <c r="O22" s="17" cm="1">
        <f t="array" ref="O22">_xlfn.IFS(AND(L22&gt;=4.1,L22&lt;=41.49),1,AND(L22&gt;=41.5,L22&lt;=78.86),2,AND(L22&gt;=78.87,L22&lt;=116.23),3,AND(L22&gt;=116.24,L22&lt;=153.6),4,AND(L22&gt;=153.61,L22&lt;=190.97),5)</f>
        <v>2</v>
      </c>
      <c r="P22" s="17">
        <f t="shared" si="0"/>
        <v>8</v>
      </c>
      <c r="Q22" s="17" t="str" cm="1">
        <f t="array" ref="Q22">_xlfn.IFS(P22&gt;=14,"Best Customers",AND(P22&gt;=10,P22&lt;14),"Loyal Customers",AND(P22&gt;=7,P22&lt;10),"Potential Customers",AND(P22&gt;=4,P22&lt;7),"Need Attention",P22&lt;4,"At Risk")</f>
        <v>Potential Customers</v>
      </c>
    </row>
    <row r="23" spans="1:17" x14ac:dyDescent="0.35">
      <c r="A23" t="s">
        <v>53</v>
      </c>
      <c r="B23" t="s">
        <v>54</v>
      </c>
      <c r="C23" s="1">
        <v>45787.343007002317</v>
      </c>
      <c r="D23" t="s">
        <v>29</v>
      </c>
      <c r="E23">
        <v>21.38</v>
      </c>
      <c r="I23" s="17" t="s">
        <v>828</v>
      </c>
      <c r="J23" s="18">
        <v>77.656990740739275</v>
      </c>
      <c r="K23" s="17">
        <v>3</v>
      </c>
      <c r="L23" s="17">
        <v>50.93</v>
      </c>
      <c r="M23" s="17" cm="1">
        <f t="array" ref="M23">_xlfn.IFS(AND(J23&gt;=65,J23&lt;=141),5,AND(J23&gt;141,J23&lt;=213),4,AND(J23&gt;213,J23&lt;=285),3,AND(J23&gt;285,J23&lt;=357),2,AND(J23&gt;357,J23&lt;=430),1)</f>
        <v>5</v>
      </c>
      <c r="N23" s="17" cm="1">
        <f t="array" ref="N23">_xlfn.IFS(AND(K23&gt;=1,K23&lt;=2),1,AND(K23&gt;=3,K23&lt;=4),2,AND(K23&gt;=5,K23&lt;=6),3,AND(K23&gt;=6,K23&lt;=9),4,AND(K23&gt;=10,K23&lt;=12),5)</f>
        <v>2</v>
      </c>
      <c r="O23" s="17" cm="1">
        <f t="array" ref="O23">_xlfn.IFS(AND(L23&gt;=4.1,L23&lt;=41.49),1,AND(L23&gt;=41.5,L23&lt;=78.86),2,AND(L23&gt;=78.87,L23&lt;=116.23),3,AND(L23&gt;=116.24,L23&lt;=153.6),4,AND(L23&gt;=153.61,L23&lt;=190.97),5)</f>
        <v>2</v>
      </c>
      <c r="P23" s="17">
        <f t="shared" si="0"/>
        <v>9</v>
      </c>
      <c r="Q23" s="17" t="str" cm="1">
        <f t="array" ref="Q23">_xlfn.IFS(P23&gt;=14,"Best Customers",AND(P23&gt;=10,P23&lt;14),"Loyal Customers",AND(P23&gt;=7,P23&lt;10),"Potential Customers",AND(P23&gt;=4,P23&lt;7),"Need Attention",P23&lt;4,"At Risk")</f>
        <v>Potential Customers</v>
      </c>
    </row>
    <row r="24" spans="1:17" x14ac:dyDescent="0.35">
      <c r="A24" t="s">
        <v>55</v>
      </c>
      <c r="B24" t="s">
        <v>56</v>
      </c>
      <c r="C24" s="1">
        <v>45872.343007002317</v>
      </c>
      <c r="D24" t="s">
        <v>50</v>
      </c>
      <c r="E24">
        <v>4.68</v>
      </c>
      <c r="I24" s="17" t="s">
        <v>104</v>
      </c>
      <c r="J24" s="18">
        <v>160.65699074073927</v>
      </c>
      <c r="K24" s="17">
        <v>3</v>
      </c>
      <c r="L24" s="17">
        <v>62.489999999999995</v>
      </c>
      <c r="M24" s="17" cm="1">
        <f t="array" ref="M24">_xlfn.IFS(AND(J24&gt;=65,J24&lt;=141),5,AND(J24&gt;141,J24&lt;=213),4,AND(J24&gt;213,J24&lt;=285),3,AND(J24&gt;285,J24&lt;=357),2,AND(J24&gt;357,J24&lt;=430),1)</f>
        <v>4</v>
      </c>
      <c r="N24" s="17" cm="1">
        <f t="array" ref="N24">_xlfn.IFS(AND(K24&gt;=1,K24&lt;=2),1,AND(K24&gt;=3,K24&lt;=4),2,AND(K24&gt;=5,K24&lt;=6),3,AND(K24&gt;=6,K24&lt;=9),4,AND(K24&gt;=10,K24&lt;=12),5)</f>
        <v>2</v>
      </c>
      <c r="O24" s="17" cm="1">
        <f t="array" ref="O24">_xlfn.IFS(AND(L24&gt;=4.1,L24&lt;=41.49),1,AND(L24&gt;=41.5,L24&lt;=78.86),2,AND(L24&gt;=78.87,L24&lt;=116.23),3,AND(L24&gt;=116.24,L24&lt;=153.6),4,AND(L24&gt;=153.61,L24&lt;=190.97),5)</f>
        <v>2</v>
      </c>
      <c r="P24" s="17">
        <f t="shared" si="0"/>
        <v>8</v>
      </c>
      <c r="Q24" s="17" t="str" cm="1">
        <f t="array" ref="Q24">_xlfn.IFS(P24&gt;=14,"Best Customers",AND(P24&gt;=10,P24&lt;14),"Loyal Customers",AND(P24&gt;=7,P24&lt;10),"Potential Customers",AND(P24&gt;=4,P24&lt;7),"Need Attention",P24&lt;4,"At Risk")</f>
        <v>Potential Customers</v>
      </c>
    </row>
    <row r="25" spans="1:17" x14ac:dyDescent="0.35">
      <c r="A25" t="s">
        <v>57</v>
      </c>
      <c r="B25" t="s">
        <v>58</v>
      </c>
      <c r="C25" s="1">
        <v>45756.343007002317</v>
      </c>
      <c r="D25" t="s">
        <v>7</v>
      </c>
      <c r="E25">
        <v>34.64</v>
      </c>
      <c r="I25" s="17" t="s">
        <v>902</v>
      </c>
      <c r="J25" s="18">
        <v>142.65699074073927</v>
      </c>
      <c r="K25" s="17">
        <v>2</v>
      </c>
      <c r="L25" s="17">
        <v>16.66</v>
      </c>
      <c r="M25" s="17" cm="1">
        <f t="array" ref="M25">_xlfn.IFS(AND(J25&gt;=65,J25&lt;=141),5,AND(J25&gt;141,J25&lt;=213),4,AND(J25&gt;213,J25&lt;=285),3,AND(J25&gt;285,J25&lt;=357),2,AND(J25&gt;357,J25&lt;=430),1)</f>
        <v>4</v>
      </c>
      <c r="N25" s="17" cm="1">
        <f t="array" ref="N25">_xlfn.IFS(AND(K25&gt;=1,K25&lt;=2),1,AND(K25&gt;=3,K25&lt;=4),2,AND(K25&gt;=5,K25&lt;=6),3,AND(K25&gt;=6,K25&lt;=9),4,AND(K25&gt;=10,K25&lt;=12),5)</f>
        <v>1</v>
      </c>
      <c r="O25" s="17" cm="1">
        <f t="array" ref="O25">_xlfn.IFS(AND(L25&gt;=4.1,L25&lt;=41.49),1,AND(L25&gt;=41.5,L25&lt;=78.86),2,AND(L25&gt;=78.87,L25&lt;=116.23),3,AND(L25&gt;=116.24,L25&lt;=153.6),4,AND(L25&gt;=153.61,L25&lt;=190.97),5)</f>
        <v>1</v>
      </c>
      <c r="P25" s="17">
        <f t="shared" si="0"/>
        <v>6</v>
      </c>
      <c r="Q25" s="17" t="str" cm="1">
        <f t="array" ref="Q25">_xlfn.IFS(P25&gt;=14,"Best Customers",AND(P25&gt;=10,P25&lt;14),"Loyal Customers",AND(P25&gt;=7,P25&lt;10),"Potential Customers",AND(P25&gt;=4,P25&lt;7),"Need Attention",P25&lt;4,"At Risk")</f>
        <v>Need Attention</v>
      </c>
    </row>
    <row r="26" spans="1:17" x14ac:dyDescent="0.35">
      <c r="A26" t="s">
        <v>59</v>
      </c>
      <c r="B26" t="s">
        <v>60</v>
      </c>
      <c r="C26" s="1">
        <v>45909.343007002317</v>
      </c>
      <c r="D26" t="s">
        <v>13</v>
      </c>
      <c r="E26">
        <v>10.42</v>
      </c>
      <c r="I26" s="17" t="s">
        <v>256</v>
      </c>
      <c r="J26" s="18">
        <v>109.65699074073927</v>
      </c>
      <c r="K26" s="17">
        <v>6</v>
      </c>
      <c r="L26" s="17">
        <v>109.94</v>
      </c>
      <c r="M26" s="17" cm="1">
        <f t="array" ref="M26">_xlfn.IFS(AND(J26&gt;=65,J26&lt;=141),5,AND(J26&gt;141,J26&lt;=213),4,AND(J26&gt;213,J26&lt;=285),3,AND(J26&gt;285,J26&lt;=357),2,AND(J26&gt;357,J26&lt;=430),1)</f>
        <v>5</v>
      </c>
      <c r="N26" s="17" cm="1">
        <f t="array" ref="N26">_xlfn.IFS(AND(K26&gt;=1,K26&lt;=2),1,AND(K26&gt;=3,K26&lt;=4),2,AND(K26&gt;=5,K26&lt;=6),3,AND(K26&gt;=6,K26&lt;=9),4,AND(K26&gt;=10,K26&lt;=12),5)</f>
        <v>3</v>
      </c>
      <c r="O26" s="17" cm="1">
        <f t="array" ref="O26">_xlfn.IFS(AND(L26&gt;=4.1,L26&lt;=41.49),1,AND(L26&gt;=41.5,L26&lt;=78.86),2,AND(L26&gt;=78.87,L26&lt;=116.23),3,AND(L26&gt;=116.24,L26&lt;=153.6),4,AND(L26&gt;=153.61,L26&lt;=190.97),5)</f>
        <v>3</v>
      </c>
      <c r="P26" s="17">
        <f t="shared" si="0"/>
        <v>11</v>
      </c>
      <c r="Q26" s="17" t="str" cm="1">
        <f t="array" ref="Q26">_xlfn.IFS(P26&gt;=14,"Best Customers",AND(P26&gt;=10,P26&lt;14),"Loyal Customers",AND(P26&gt;=7,P26&lt;10),"Potential Customers",AND(P26&gt;=4,P26&lt;7),"Need Attention",P26&lt;4,"At Risk")</f>
        <v>Loyal Customers</v>
      </c>
    </row>
    <row r="27" spans="1:17" x14ac:dyDescent="0.35">
      <c r="A27" t="s">
        <v>61</v>
      </c>
      <c r="B27" t="s">
        <v>62</v>
      </c>
      <c r="C27" s="1">
        <v>45617.343007002317</v>
      </c>
      <c r="D27" t="s">
        <v>7</v>
      </c>
      <c r="E27">
        <v>47.17</v>
      </c>
      <c r="I27" s="17" t="s">
        <v>585</v>
      </c>
      <c r="J27" s="18">
        <v>211.65699074073927</v>
      </c>
      <c r="K27" s="17">
        <v>4</v>
      </c>
      <c r="L27" s="17">
        <v>95.759999999999991</v>
      </c>
      <c r="M27" s="17" cm="1">
        <f t="array" ref="M27">_xlfn.IFS(AND(J27&gt;=65,J27&lt;=141),5,AND(J27&gt;141,J27&lt;=213),4,AND(J27&gt;213,J27&lt;=285),3,AND(J27&gt;285,J27&lt;=357),2,AND(J27&gt;357,J27&lt;=430),1)</f>
        <v>4</v>
      </c>
      <c r="N27" s="17" cm="1">
        <f t="array" ref="N27">_xlfn.IFS(AND(K27&gt;=1,K27&lt;=2),1,AND(K27&gt;=3,K27&lt;=4),2,AND(K27&gt;=5,K27&lt;=6),3,AND(K27&gt;=6,K27&lt;=9),4,AND(K27&gt;=10,K27&lt;=12),5)</f>
        <v>2</v>
      </c>
      <c r="O27" s="17" cm="1">
        <f t="array" ref="O27">_xlfn.IFS(AND(L27&gt;=4.1,L27&lt;=41.49),1,AND(L27&gt;=41.5,L27&lt;=78.86),2,AND(L27&gt;=78.87,L27&lt;=116.23),3,AND(L27&gt;=116.24,L27&lt;=153.6),4,AND(L27&gt;=153.61,L27&lt;=190.97),5)</f>
        <v>3</v>
      </c>
      <c r="P27" s="17">
        <f t="shared" si="0"/>
        <v>9</v>
      </c>
      <c r="Q27" s="17" t="str" cm="1">
        <f t="array" ref="Q27">_xlfn.IFS(P27&gt;=14,"Best Customers",AND(P27&gt;=10,P27&lt;14),"Loyal Customers",AND(P27&gt;=7,P27&lt;10),"Potential Customers",AND(P27&gt;=4,P27&lt;7),"Need Attention",P27&lt;4,"At Risk")</f>
        <v>Potential Customers</v>
      </c>
    </row>
    <row r="28" spans="1:17" x14ac:dyDescent="0.35">
      <c r="A28" t="s">
        <v>63</v>
      </c>
      <c r="B28" t="s">
        <v>64</v>
      </c>
      <c r="C28" s="1">
        <v>45848.343007002317</v>
      </c>
      <c r="D28" t="s">
        <v>16</v>
      </c>
      <c r="E28">
        <v>9.7799999999999994</v>
      </c>
      <c r="I28" s="17" t="s">
        <v>479</v>
      </c>
      <c r="J28" s="18">
        <v>198.65699074073927</v>
      </c>
      <c r="K28" s="17">
        <v>5</v>
      </c>
      <c r="L28" s="17">
        <v>70.66</v>
      </c>
      <c r="M28" s="17" cm="1">
        <f t="array" ref="M28">_xlfn.IFS(AND(J28&gt;=65,J28&lt;=141),5,AND(J28&gt;141,J28&lt;=213),4,AND(J28&gt;213,J28&lt;=285),3,AND(J28&gt;285,J28&lt;=357),2,AND(J28&gt;357,J28&lt;=430),1)</f>
        <v>4</v>
      </c>
      <c r="N28" s="17" cm="1">
        <f t="array" ref="N28">_xlfn.IFS(AND(K28&gt;=1,K28&lt;=2),1,AND(K28&gt;=3,K28&lt;=4),2,AND(K28&gt;=5,K28&lt;=6),3,AND(K28&gt;=6,K28&lt;=9),4,AND(K28&gt;=10,K28&lt;=12),5)</f>
        <v>3</v>
      </c>
      <c r="O28" s="17" cm="1">
        <f t="array" ref="O28">_xlfn.IFS(AND(L28&gt;=4.1,L28&lt;=41.49),1,AND(L28&gt;=41.5,L28&lt;=78.86),2,AND(L28&gt;=78.87,L28&lt;=116.23),3,AND(L28&gt;=116.24,L28&lt;=153.6),4,AND(L28&gt;=153.61,L28&lt;=190.97),5)</f>
        <v>2</v>
      </c>
      <c r="P28" s="17">
        <f t="shared" si="0"/>
        <v>9</v>
      </c>
      <c r="Q28" s="17" t="str" cm="1">
        <f t="array" ref="Q28">_xlfn.IFS(P28&gt;=14,"Best Customers",AND(P28&gt;=10,P28&lt;14),"Loyal Customers",AND(P28&gt;=7,P28&lt;10),"Potential Customers",AND(P28&gt;=4,P28&lt;7),"Need Attention",P28&lt;4,"At Risk")</f>
        <v>Potential Customers</v>
      </c>
    </row>
    <row r="29" spans="1:17" x14ac:dyDescent="0.35">
      <c r="A29" t="s">
        <v>65</v>
      </c>
      <c r="B29" t="s">
        <v>66</v>
      </c>
      <c r="C29" s="1">
        <v>45831.343007002317</v>
      </c>
      <c r="D29" t="s">
        <v>13</v>
      </c>
      <c r="E29">
        <v>13.39</v>
      </c>
      <c r="I29" s="17" t="s">
        <v>1065</v>
      </c>
      <c r="J29" s="18">
        <v>183.65699074073927</v>
      </c>
      <c r="K29" s="17">
        <v>1</v>
      </c>
      <c r="L29" s="17">
        <v>4.8600000000000003</v>
      </c>
      <c r="M29" s="17" cm="1">
        <f t="array" ref="M29">_xlfn.IFS(AND(J29&gt;=65,J29&lt;=141),5,AND(J29&gt;141,J29&lt;=213),4,AND(J29&gt;213,J29&lt;=285),3,AND(J29&gt;285,J29&lt;=357),2,AND(J29&gt;357,J29&lt;=430),1)</f>
        <v>4</v>
      </c>
      <c r="N29" s="17" cm="1">
        <f t="array" ref="N29">_xlfn.IFS(AND(K29&gt;=1,K29&lt;=2),1,AND(K29&gt;=3,K29&lt;=4),2,AND(K29&gt;=5,K29&lt;=6),3,AND(K29&gt;=6,K29&lt;=9),4,AND(K29&gt;=10,K29&lt;=12),5)</f>
        <v>1</v>
      </c>
      <c r="O29" s="17" cm="1">
        <f t="array" ref="O29">_xlfn.IFS(AND(L29&gt;=4.1,L29&lt;=41.49),1,AND(L29&gt;=41.5,L29&lt;=78.86),2,AND(L29&gt;=78.87,L29&lt;=116.23),3,AND(L29&gt;=116.24,L29&lt;=153.6),4,AND(L29&gt;=153.61,L29&lt;=190.97),5)</f>
        <v>1</v>
      </c>
      <c r="P29" s="17">
        <f t="shared" si="0"/>
        <v>6</v>
      </c>
      <c r="Q29" s="17" t="str" cm="1">
        <f t="array" ref="Q29">_xlfn.IFS(P29&gt;=14,"Best Customers",AND(P29&gt;=10,P29&lt;14),"Loyal Customers",AND(P29&gt;=7,P29&lt;10),"Potential Customers",AND(P29&gt;=4,P29&lt;7),"Need Attention",P29&lt;4,"At Risk")</f>
        <v>Need Attention</v>
      </c>
    </row>
    <row r="30" spans="1:17" x14ac:dyDescent="0.35">
      <c r="A30" t="s">
        <v>67</v>
      </c>
      <c r="B30" t="s">
        <v>68</v>
      </c>
      <c r="C30" s="1">
        <v>45940.343007002317</v>
      </c>
      <c r="D30" t="s">
        <v>50</v>
      </c>
      <c r="E30">
        <v>5.28</v>
      </c>
      <c r="I30" s="17" t="s">
        <v>225</v>
      </c>
      <c r="J30" s="18">
        <v>130.65699074073927</v>
      </c>
      <c r="K30" s="17">
        <v>6</v>
      </c>
      <c r="L30" s="17">
        <v>130.92000000000002</v>
      </c>
      <c r="M30" s="17" cm="1">
        <f t="array" ref="M30">_xlfn.IFS(AND(J30&gt;=65,J30&lt;=141),5,AND(J30&gt;141,J30&lt;=213),4,AND(J30&gt;213,J30&lt;=285),3,AND(J30&gt;285,J30&lt;=357),2,AND(J30&gt;357,J30&lt;=430),1)</f>
        <v>5</v>
      </c>
      <c r="N30" s="17" cm="1">
        <f t="array" ref="N30">_xlfn.IFS(AND(K30&gt;=1,K30&lt;=2),1,AND(K30&gt;=3,K30&lt;=4),2,AND(K30&gt;=5,K30&lt;=6),3,AND(K30&gt;=6,K30&lt;=9),4,AND(K30&gt;=10,K30&lt;=12),5)</f>
        <v>3</v>
      </c>
      <c r="O30" s="17" cm="1">
        <f t="array" ref="O30">_xlfn.IFS(AND(L30&gt;=4.1,L30&lt;=41.49),1,AND(L30&gt;=41.5,L30&lt;=78.86),2,AND(L30&gt;=78.87,L30&lt;=116.23),3,AND(L30&gt;=116.24,L30&lt;=153.6),4,AND(L30&gt;=153.61,L30&lt;=190.97),5)</f>
        <v>4</v>
      </c>
      <c r="P30" s="17">
        <f t="shared" si="0"/>
        <v>12</v>
      </c>
      <c r="Q30" s="17" t="str" cm="1">
        <f t="array" ref="Q30">_xlfn.IFS(P30&gt;=14,"Best Customers",AND(P30&gt;=10,P30&lt;14),"Loyal Customers",AND(P30&gt;=7,P30&lt;10),"Potential Customers",AND(P30&gt;=4,P30&lt;7),"Need Attention",P30&lt;4,"At Risk")</f>
        <v>Loyal Customers</v>
      </c>
    </row>
    <row r="31" spans="1:17" x14ac:dyDescent="0.35">
      <c r="A31" t="s">
        <v>69</v>
      </c>
      <c r="B31" t="s">
        <v>70</v>
      </c>
      <c r="C31" s="1">
        <v>45644.343007002317</v>
      </c>
      <c r="D31" t="s">
        <v>16</v>
      </c>
      <c r="E31">
        <v>10.71</v>
      </c>
      <c r="I31" s="17" t="s">
        <v>784</v>
      </c>
      <c r="J31" s="18">
        <v>341.65699074073927</v>
      </c>
      <c r="K31" s="17">
        <v>1</v>
      </c>
      <c r="L31" s="17">
        <v>9.42</v>
      </c>
      <c r="M31" s="17" cm="1">
        <f t="array" ref="M31">_xlfn.IFS(AND(J31&gt;=65,J31&lt;=141),5,AND(J31&gt;141,J31&lt;=213),4,AND(J31&gt;213,J31&lt;=285),3,AND(J31&gt;285,J31&lt;=357),2,AND(J31&gt;357,J31&lt;=430),1)</f>
        <v>2</v>
      </c>
      <c r="N31" s="17" cm="1">
        <f t="array" ref="N31">_xlfn.IFS(AND(K31&gt;=1,K31&lt;=2),1,AND(K31&gt;=3,K31&lt;=4),2,AND(K31&gt;=5,K31&lt;=6),3,AND(K31&gt;=6,K31&lt;=9),4,AND(K31&gt;=10,K31&lt;=12),5)</f>
        <v>1</v>
      </c>
      <c r="O31" s="17" cm="1">
        <f t="array" ref="O31">_xlfn.IFS(AND(L31&gt;=4.1,L31&lt;=41.49),1,AND(L31&gt;=41.5,L31&lt;=78.86),2,AND(L31&gt;=78.87,L31&lt;=116.23),3,AND(L31&gt;=116.24,L31&lt;=153.6),4,AND(L31&gt;=153.61,L31&lt;=190.97),5)</f>
        <v>1</v>
      </c>
      <c r="P31" s="17">
        <f t="shared" si="0"/>
        <v>4</v>
      </c>
      <c r="Q31" s="17" t="str" cm="1">
        <f t="array" ref="Q31">_xlfn.IFS(P31&gt;=14,"Best Customers",AND(P31&gt;=10,P31&lt;14),"Loyal Customers",AND(P31&gt;=7,P31&lt;10),"Potential Customers",AND(P31&gt;=4,P31&lt;7),"Need Attention",P31&lt;4,"At Risk")</f>
        <v>Need Attention</v>
      </c>
    </row>
    <row r="32" spans="1:17" x14ac:dyDescent="0.35">
      <c r="A32" t="s">
        <v>71</v>
      </c>
      <c r="B32" t="s">
        <v>72</v>
      </c>
      <c r="C32" s="1">
        <v>45654.343007002317</v>
      </c>
      <c r="D32" t="s">
        <v>10</v>
      </c>
      <c r="E32">
        <v>12.79</v>
      </c>
      <c r="I32" s="17" t="s">
        <v>307</v>
      </c>
      <c r="J32" s="18">
        <v>203.65699074073927</v>
      </c>
      <c r="K32" s="17">
        <v>2</v>
      </c>
      <c r="L32" s="17">
        <v>26.84</v>
      </c>
      <c r="M32" s="17" cm="1">
        <f t="array" ref="M32">_xlfn.IFS(AND(J32&gt;=65,J32&lt;=141),5,AND(J32&gt;141,J32&lt;=213),4,AND(J32&gt;213,J32&lt;=285),3,AND(J32&gt;285,J32&lt;=357),2,AND(J32&gt;357,J32&lt;=430),1)</f>
        <v>4</v>
      </c>
      <c r="N32" s="17" cm="1">
        <f t="array" ref="N32">_xlfn.IFS(AND(K32&gt;=1,K32&lt;=2),1,AND(K32&gt;=3,K32&lt;=4),2,AND(K32&gt;=5,K32&lt;=6),3,AND(K32&gt;=6,K32&lt;=9),4,AND(K32&gt;=10,K32&lt;=12),5)</f>
        <v>1</v>
      </c>
      <c r="O32" s="17" cm="1">
        <f t="array" ref="O32">_xlfn.IFS(AND(L32&gt;=4.1,L32&lt;=41.49),1,AND(L32&gt;=41.5,L32&lt;=78.86),2,AND(L32&gt;=78.87,L32&lt;=116.23),3,AND(L32&gt;=116.24,L32&lt;=153.6),4,AND(L32&gt;=153.61,L32&lt;=190.97),5)</f>
        <v>1</v>
      </c>
      <c r="P32" s="17">
        <f t="shared" si="0"/>
        <v>6</v>
      </c>
      <c r="Q32" s="17" t="str" cm="1">
        <f t="array" ref="Q32">_xlfn.IFS(P32&gt;=14,"Best Customers",AND(P32&gt;=10,P32&lt;14),"Loyal Customers",AND(P32&gt;=7,P32&lt;10),"Potential Customers",AND(P32&gt;=4,P32&lt;7),"Need Attention",P32&lt;4,"At Risk")</f>
        <v>Need Attention</v>
      </c>
    </row>
    <row r="33" spans="1:17" x14ac:dyDescent="0.35">
      <c r="A33" t="s">
        <v>73</v>
      </c>
      <c r="B33" t="s">
        <v>74</v>
      </c>
      <c r="C33" s="1">
        <v>45765.343007002317</v>
      </c>
      <c r="D33" t="s">
        <v>50</v>
      </c>
      <c r="E33">
        <v>4.47</v>
      </c>
      <c r="I33" s="17" t="s">
        <v>843</v>
      </c>
      <c r="J33" s="18">
        <v>95.656990740739275</v>
      </c>
      <c r="K33" s="17">
        <v>1</v>
      </c>
      <c r="L33" s="17">
        <v>5.71</v>
      </c>
      <c r="M33" s="17" cm="1">
        <f t="array" ref="M33">_xlfn.IFS(AND(J33&gt;=65,J33&lt;=141),5,AND(J33&gt;141,J33&lt;=213),4,AND(J33&gt;213,J33&lt;=285),3,AND(J33&gt;285,J33&lt;=357),2,AND(J33&gt;357,J33&lt;=430),1)</f>
        <v>5</v>
      </c>
      <c r="N33" s="17" cm="1">
        <f t="array" ref="N33">_xlfn.IFS(AND(K33&gt;=1,K33&lt;=2),1,AND(K33&gt;=3,K33&lt;=4),2,AND(K33&gt;=5,K33&lt;=6),3,AND(K33&gt;=6,K33&lt;=9),4,AND(K33&gt;=10,K33&lt;=12),5)</f>
        <v>1</v>
      </c>
      <c r="O33" s="17" cm="1">
        <f t="array" ref="O33">_xlfn.IFS(AND(L33&gt;=4.1,L33&lt;=41.49),1,AND(L33&gt;=41.5,L33&lt;=78.86),2,AND(L33&gt;=78.87,L33&lt;=116.23),3,AND(L33&gt;=116.24,L33&lt;=153.6),4,AND(L33&gt;=153.61,L33&lt;=190.97),5)</f>
        <v>1</v>
      </c>
      <c r="P33" s="17">
        <f t="shared" si="0"/>
        <v>7</v>
      </c>
      <c r="Q33" s="17" t="str" cm="1">
        <f t="array" ref="Q33">_xlfn.IFS(P33&gt;=14,"Best Customers",AND(P33&gt;=10,P33&lt;14),"Loyal Customers",AND(P33&gt;=7,P33&lt;10),"Potential Customers",AND(P33&gt;=4,P33&lt;7),"Need Attention",P33&lt;4,"At Risk")</f>
        <v>Potential Customers</v>
      </c>
    </row>
    <row r="34" spans="1:17" x14ac:dyDescent="0.35">
      <c r="A34" t="s">
        <v>75</v>
      </c>
      <c r="B34" t="s">
        <v>76</v>
      </c>
      <c r="C34" s="1">
        <v>45783.343007002317</v>
      </c>
      <c r="D34" t="s">
        <v>29</v>
      </c>
      <c r="E34">
        <v>27.87</v>
      </c>
      <c r="I34" s="17" t="s">
        <v>471</v>
      </c>
      <c r="J34" s="18">
        <v>282.65699074073927</v>
      </c>
      <c r="K34" s="17">
        <v>2</v>
      </c>
      <c r="L34" s="17">
        <v>15.89</v>
      </c>
      <c r="M34" s="17" cm="1">
        <f t="array" ref="M34">_xlfn.IFS(AND(J34&gt;=65,J34&lt;=141),5,AND(J34&gt;141,J34&lt;=213),4,AND(J34&gt;213,J34&lt;=285),3,AND(J34&gt;285,J34&lt;=357),2,AND(J34&gt;357,J34&lt;=430),1)</f>
        <v>3</v>
      </c>
      <c r="N34" s="17" cm="1">
        <f t="array" ref="N34">_xlfn.IFS(AND(K34&gt;=1,K34&lt;=2),1,AND(K34&gt;=3,K34&lt;=4),2,AND(K34&gt;=5,K34&lt;=6),3,AND(K34&gt;=6,K34&lt;=9),4,AND(K34&gt;=10,K34&lt;=12),5)</f>
        <v>1</v>
      </c>
      <c r="O34" s="17" cm="1">
        <f t="array" ref="O34">_xlfn.IFS(AND(L34&gt;=4.1,L34&lt;=41.49),1,AND(L34&gt;=41.5,L34&lt;=78.86),2,AND(L34&gt;=78.87,L34&lt;=116.23),3,AND(L34&gt;=116.24,L34&lt;=153.6),4,AND(L34&gt;=153.61,L34&lt;=190.97),5)</f>
        <v>1</v>
      </c>
      <c r="P34" s="17">
        <f t="shared" si="0"/>
        <v>5</v>
      </c>
      <c r="Q34" s="17" t="str" cm="1">
        <f t="array" ref="Q34">_xlfn.IFS(P34&gt;=14,"Best Customers",AND(P34&gt;=10,P34&lt;14),"Loyal Customers",AND(P34&gt;=7,P34&lt;10),"Potential Customers",AND(P34&gt;=4,P34&lt;7),"Need Attention",P34&lt;4,"At Risk")</f>
        <v>Need Attention</v>
      </c>
    </row>
    <row r="35" spans="1:17" x14ac:dyDescent="0.35">
      <c r="A35" t="s">
        <v>77</v>
      </c>
      <c r="B35" t="s">
        <v>78</v>
      </c>
      <c r="C35" s="1">
        <v>45866.343007002317</v>
      </c>
      <c r="D35" t="s">
        <v>10</v>
      </c>
      <c r="E35">
        <v>17.82</v>
      </c>
      <c r="I35" s="17" t="s">
        <v>54</v>
      </c>
      <c r="J35" s="18">
        <v>242.65699074073927</v>
      </c>
      <c r="K35" s="17">
        <v>3</v>
      </c>
      <c r="L35" s="17">
        <v>58.38</v>
      </c>
      <c r="M35" s="17" cm="1">
        <f t="array" ref="M35">_xlfn.IFS(AND(J35&gt;=65,J35&lt;=141),5,AND(J35&gt;141,J35&lt;=213),4,AND(J35&gt;213,J35&lt;=285),3,AND(J35&gt;285,J35&lt;=357),2,AND(J35&gt;357,J35&lt;=430),1)</f>
        <v>3</v>
      </c>
      <c r="N35" s="17" cm="1">
        <f t="array" ref="N35">_xlfn.IFS(AND(K35&gt;=1,K35&lt;=2),1,AND(K35&gt;=3,K35&lt;=4),2,AND(K35&gt;=5,K35&lt;=6),3,AND(K35&gt;=6,K35&lt;=9),4,AND(K35&gt;=10,K35&lt;=12),5)</f>
        <v>2</v>
      </c>
      <c r="O35" s="17" cm="1">
        <f t="array" ref="O35">_xlfn.IFS(AND(L35&gt;=4.1,L35&lt;=41.49),1,AND(L35&gt;=41.5,L35&lt;=78.86),2,AND(L35&gt;=78.87,L35&lt;=116.23),3,AND(L35&gt;=116.24,L35&lt;=153.6),4,AND(L35&gt;=153.61,L35&lt;=190.97),5)</f>
        <v>2</v>
      </c>
      <c r="P35" s="17">
        <f t="shared" si="0"/>
        <v>7</v>
      </c>
      <c r="Q35" s="17" t="str" cm="1">
        <f t="array" ref="Q35">_xlfn.IFS(P35&gt;=14,"Best Customers",AND(P35&gt;=10,P35&lt;14),"Loyal Customers",AND(P35&gt;=7,P35&lt;10),"Potential Customers",AND(P35&gt;=4,P35&lt;7),"Need Attention",P35&lt;4,"At Risk")</f>
        <v>Potential Customers</v>
      </c>
    </row>
    <row r="36" spans="1:17" x14ac:dyDescent="0.35">
      <c r="A36" t="s">
        <v>79</v>
      </c>
      <c r="B36" t="s">
        <v>80</v>
      </c>
      <c r="C36" s="1">
        <v>45785.343007002317</v>
      </c>
      <c r="D36" t="s">
        <v>10</v>
      </c>
      <c r="E36">
        <v>13.58</v>
      </c>
      <c r="I36" s="17" t="s">
        <v>393</v>
      </c>
      <c r="J36" s="18">
        <v>84.656990740739275</v>
      </c>
      <c r="K36" s="17">
        <v>3</v>
      </c>
      <c r="L36" s="17">
        <v>72.06</v>
      </c>
      <c r="M36" s="17" cm="1">
        <f t="array" ref="M36">_xlfn.IFS(AND(J36&gt;=65,J36&lt;=141),5,AND(J36&gt;141,J36&lt;=213),4,AND(J36&gt;213,J36&lt;=285),3,AND(J36&gt;285,J36&lt;=357),2,AND(J36&gt;357,J36&lt;=430),1)</f>
        <v>5</v>
      </c>
      <c r="N36" s="17" cm="1">
        <f t="array" ref="N36">_xlfn.IFS(AND(K36&gt;=1,K36&lt;=2),1,AND(K36&gt;=3,K36&lt;=4),2,AND(K36&gt;=5,K36&lt;=6),3,AND(K36&gt;=6,K36&lt;=9),4,AND(K36&gt;=10,K36&lt;=12),5)</f>
        <v>2</v>
      </c>
      <c r="O36" s="17" cm="1">
        <f t="array" ref="O36">_xlfn.IFS(AND(L36&gt;=4.1,L36&lt;=41.49),1,AND(L36&gt;=41.5,L36&lt;=78.86),2,AND(L36&gt;=78.87,L36&lt;=116.23),3,AND(L36&gt;=116.24,L36&lt;=153.6),4,AND(L36&gt;=153.61,L36&lt;=190.97),5)</f>
        <v>2</v>
      </c>
      <c r="P36" s="17">
        <f t="shared" si="0"/>
        <v>9</v>
      </c>
      <c r="Q36" s="17" t="str" cm="1">
        <f t="array" ref="Q36">_xlfn.IFS(P36&gt;=14,"Best Customers",AND(P36&gt;=10,P36&lt;14),"Loyal Customers",AND(P36&gt;=7,P36&lt;10),"Potential Customers",AND(P36&gt;=4,P36&lt;7),"Need Attention",P36&lt;4,"At Risk")</f>
        <v>Potential Customers</v>
      </c>
    </row>
    <row r="37" spans="1:17" x14ac:dyDescent="0.35">
      <c r="A37" t="s">
        <v>81</v>
      </c>
      <c r="B37" t="s">
        <v>82</v>
      </c>
      <c r="C37" s="1">
        <v>45770.343007002317</v>
      </c>
      <c r="D37" t="s">
        <v>29</v>
      </c>
      <c r="E37">
        <v>22.72</v>
      </c>
      <c r="I37" s="17" t="s">
        <v>742</v>
      </c>
      <c r="J37" s="18">
        <v>145.65699074073927</v>
      </c>
      <c r="K37" s="17">
        <v>3</v>
      </c>
      <c r="L37" s="17">
        <v>40.36</v>
      </c>
      <c r="M37" s="17" cm="1">
        <f t="array" ref="M37">_xlfn.IFS(AND(J37&gt;=65,J37&lt;=141),5,AND(J37&gt;141,J37&lt;=213),4,AND(J37&gt;213,J37&lt;=285),3,AND(J37&gt;285,J37&lt;=357),2,AND(J37&gt;357,J37&lt;=430),1)</f>
        <v>4</v>
      </c>
      <c r="N37" s="17" cm="1">
        <f t="array" ref="N37">_xlfn.IFS(AND(K37&gt;=1,K37&lt;=2),1,AND(K37&gt;=3,K37&lt;=4),2,AND(K37&gt;=5,K37&lt;=6),3,AND(K37&gt;=6,K37&lt;=9),4,AND(K37&gt;=10,K37&lt;=12),5)</f>
        <v>2</v>
      </c>
      <c r="O37" s="17" cm="1">
        <f t="array" ref="O37">_xlfn.IFS(AND(L37&gt;=4.1,L37&lt;=41.49),1,AND(L37&gt;=41.5,L37&lt;=78.86),2,AND(L37&gt;=78.87,L37&lt;=116.23),3,AND(L37&gt;=116.24,L37&lt;=153.6),4,AND(L37&gt;=153.61,L37&lt;=190.97),5)</f>
        <v>1</v>
      </c>
      <c r="P37" s="17">
        <f t="shared" si="0"/>
        <v>7</v>
      </c>
      <c r="Q37" s="17" t="str" cm="1">
        <f t="array" ref="Q37">_xlfn.IFS(P37&gt;=14,"Best Customers",AND(P37&gt;=10,P37&lt;14),"Loyal Customers",AND(P37&gt;=7,P37&lt;10),"Potential Customers",AND(P37&gt;=4,P37&lt;7),"Need Attention",P37&lt;4,"At Risk")</f>
        <v>Potential Customers</v>
      </c>
    </row>
    <row r="38" spans="1:17" x14ac:dyDescent="0.35">
      <c r="A38" t="s">
        <v>83</v>
      </c>
      <c r="B38" t="s">
        <v>84</v>
      </c>
      <c r="C38" s="1">
        <v>45646.343007002317</v>
      </c>
      <c r="D38" t="s">
        <v>13</v>
      </c>
      <c r="E38">
        <v>11.87</v>
      </c>
      <c r="I38" s="17" t="s">
        <v>39</v>
      </c>
      <c r="J38" s="18">
        <v>124.65699074073927</v>
      </c>
      <c r="K38" s="17">
        <v>4</v>
      </c>
      <c r="L38" s="17">
        <v>44.35</v>
      </c>
      <c r="M38" s="17" cm="1">
        <f t="array" ref="M38">_xlfn.IFS(AND(J38&gt;=65,J38&lt;=141),5,AND(J38&gt;141,J38&lt;=213),4,AND(J38&gt;213,J38&lt;=285),3,AND(J38&gt;285,J38&lt;=357),2,AND(J38&gt;357,J38&lt;=430),1)</f>
        <v>5</v>
      </c>
      <c r="N38" s="17" cm="1">
        <f t="array" ref="N38">_xlfn.IFS(AND(K38&gt;=1,K38&lt;=2),1,AND(K38&gt;=3,K38&lt;=4),2,AND(K38&gt;=5,K38&lt;=6),3,AND(K38&gt;=6,K38&lt;=9),4,AND(K38&gt;=10,K38&lt;=12),5)</f>
        <v>2</v>
      </c>
      <c r="O38" s="17" cm="1">
        <f t="array" ref="O38">_xlfn.IFS(AND(L38&gt;=4.1,L38&lt;=41.49),1,AND(L38&gt;=41.5,L38&lt;=78.86),2,AND(L38&gt;=78.87,L38&lt;=116.23),3,AND(L38&gt;=116.24,L38&lt;=153.6),4,AND(L38&gt;=153.61,L38&lt;=190.97),5)</f>
        <v>2</v>
      </c>
      <c r="P38" s="17">
        <f t="shared" si="0"/>
        <v>9</v>
      </c>
      <c r="Q38" s="17" t="str" cm="1">
        <f t="array" ref="Q38">_xlfn.IFS(P38&gt;=14,"Best Customers",AND(P38&gt;=10,P38&lt;14),"Loyal Customers",AND(P38&gt;=7,P38&lt;10),"Potential Customers",AND(P38&gt;=4,P38&lt;7),"Need Attention",P38&lt;4,"At Risk")</f>
        <v>Potential Customers</v>
      </c>
    </row>
    <row r="39" spans="1:17" x14ac:dyDescent="0.35">
      <c r="A39" t="s">
        <v>85</v>
      </c>
      <c r="B39" t="s">
        <v>86</v>
      </c>
      <c r="C39" s="1">
        <v>45959.343007002317</v>
      </c>
      <c r="D39" t="s">
        <v>10</v>
      </c>
      <c r="E39">
        <v>17.899999999999999</v>
      </c>
      <c r="I39" s="17" t="s">
        <v>118</v>
      </c>
      <c r="J39" s="18">
        <v>92.656990740739275</v>
      </c>
      <c r="K39" s="17">
        <v>8</v>
      </c>
      <c r="L39" s="17">
        <v>167.44</v>
      </c>
      <c r="M39" s="17" cm="1">
        <f t="array" ref="M39">_xlfn.IFS(AND(J39&gt;=65,J39&lt;=141),5,AND(J39&gt;141,J39&lt;=213),4,AND(J39&gt;213,J39&lt;=285),3,AND(J39&gt;285,J39&lt;=357),2,AND(J39&gt;357,J39&lt;=430),1)</f>
        <v>5</v>
      </c>
      <c r="N39" s="17" cm="1">
        <f t="array" ref="N39">_xlfn.IFS(AND(K39&gt;=1,K39&lt;=2),1,AND(K39&gt;=3,K39&lt;=4),2,AND(K39&gt;=5,K39&lt;=6),3,AND(K39&gt;=6,K39&lt;=9),4,AND(K39&gt;=10,K39&lt;=12),5)</f>
        <v>4</v>
      </c>
      <c r="O39" s="17" cm="1">
        <f t="array" ref="O39">_xlfn.IFS(AND(L39&gt;=4.1,L39&lt;=41.49),1,AND(L39&gt;=41.5,L39&lt;=78.86),2,AND(L39&gt;=78.87,L39&lt;=116.23),3,AND(L39&gt;=116.24,L39&lt;=153.6),4,AND(L39&gt;=153.61,L39&lt;=190.97),5)</f>
        <v>5</v>
      </c>
      <c r="P39" s="17">
        <f t="shared" si="0"/>
        <v>14</v>
      </c>
      <c r="Q39" s="17" t="str" cm="1">
        <f t="array" ref="Q39">_xlfn.IFS(P39&gt;=14,"Best Customers",AND(P39&gt;=10,P39&lt;14),"Loyal Customers",AND(P39&gt;=7,P39&lt;10),"Potential Customers",AND(P39&gt;=4,P39&lt;7),"Need Attention",P39&lt;4,"At Risk")</f>
        <v>Best Customers</v>
      </c>
    </row>
    <row r="40" spans="1:17" x14ac:dyDescent="0.35">
      <c r="A40" t="s">
        <v>87</v>
      </c>
      <c r="B40" t="s">
        <v>88</v>
      </c>
      <c r="C40" s="1">
        <v>45650.343007002317</v>
      </c>
      <c r="D40" t="s">
        <v>50</v>
      </c>
      <c r="E40">
        <v>4.54</v>
      </c>
      <c r="I40" s="17" t="s">
        <v>441</v>
      </c>
      <c r="J40" s="18">
        <v>98.656990740739275</v>
      </c>
      <c r="K40" s="17">
        <v>6</v>
      </c>
      <c r="L40" s="17">
        <v>101.46000000000001</v>
      </c>
      <c r="M40" s="17" cm="1">
        <f t="array" ref="M40">_xlfn.IFS(AND(J40&gt;=65,J40&lt;=141),5,AND(J40&gt;141,J40&lt;=213),4,AND(J40&gt;213,J40&lt;=285),3,AND(J40&gt;285,J40&lt;=357),2,AND(J40&gt;357,J40&lt;=430),1)</f>
        <v>5</v>
      </c>
      <c r="N40" s="17" cm="1">
        <f t="array" ref="N40">_xlfn.IFS(AND(K40&gt;=1,K40&lt;=2),1,AND(K40&gt;=3,K40&lt;=4),2,AND(K40&gt;=5,K40&lt;=6),3,AND(K40&gt;=6,K40&lt;=9),4,AND(K40&gt;=10,K40&lt;=12),5)</f>
        <v>3</v>
      </c>
      <c r="O40" s="17" cm="1">
        <f t="array" ref="O40">_xlfn.IFS(AND(L40&gt;=4.1,L40&lt;=41.49),1,AND(L40&gt;=41.5,L40&lt;=78.86),2,AND(L40&gt;=78.87,L40&lt;=116.23),3,AND(L40&gt;=116.24,L40&lt;=153.6),4,AND(L40&gt;=153.61,L40&lt;=190.97),5)</f>
        <v>3</v>
      </c>
      <c r="P40" s="17">
        <f t="shared" si="0"/>
        <v>11</v>
      </c>
      <c r="Q40" s="17" t="str" cm="1">
        <f t="array" ref="Q40">_xlfn.IFS(P40&gt;=14,"Best Customers",AND(P40&gt;=10,P40&lt;14),"Loyal Customers",AND(P40&gt;=7,P40&lt;10),"Potential Customers",AND(P40&gt;=4,P40&lt;7),"Need Attention",P40&lt;4,"At Risk")</f>
        <v>Loyal Customers</v>
      </c>
    </row>
    <row r="41" spans="1:17" x14ac:dyDescent="0.35">
      <c r="A41" t="s">
        <v>89</v>
      </c>
      <c r="B41" t="s">
        <v>84</v>
      </c>
      <c r="C41" s="1">
        <v>45839.343007002317</v>
      </c>
      <c r="D41" t="s">
        <v>16</v>
      </c>
      <c r="E41">
        <v>9.6300000000000008</v>
      </c>
      <c r="I41" s="17" t="s">
        <v>469</v>
      </c>
      <c r="J41" s="18">
        <v>261.65699074073927</v>
      </c>
      <c r="K41" s="17">
        <v>4</v>
      </c>
      <c r="L41" s="17">
        <v>63.980000000000004</v>
      </c>
      <c r="M41" s="17" cm="1">
        <f t="array" ref="M41">_xlfn.IFS(AND(J41&gt;=65,J41&lt;=141),5,AND(J41&gt;141,J41&lt;=213),4,AND(J41&gt;213,J41&lt;=285),3,AND(J41&gt;285,J41&lt;=357),2,AND(J41&gt;357,J41&lt;=430),1)</f>
        <v>3</v>
      </c>
      <c r="N41" s="17" cm="1">
        <f t="array" ref="N41">_xlfn.IFS(AND(K41&gt;=1,K41&lt;=2),1,AND(K41&gt;=3,K41&lt;=4),2,AND(K41&gt;=5,K41&lt;=6),3,AND(K41&gt;=6,K41&lt;=9),4,AND(K41&gt;=10,K41&lt;=12),5)</f>
        <v>2</v>
      </c>
      <c r="O41" s="17" cm="1">
        <f t="array" ref="O41">_xlfn.IFS(AND(L41&gt;=4.1,L41&lt;=41.49),1,AND(L41&gt;=41.5,L41&lt;=78.86),2,AND(L41&gt;=78.87,L41&lt;=116.23),3,AND(L41&gt;=116.24,L41&lt;=153.6),4,AND(L41&gt;=153.61,L41&lt;=190.97),5)</f>
        <v>2</v>
      </c>
      <c r="P41" s="17">
        <f t="shared" si="0"/>
        <v>7</v>
      </c>
      <c r="Q41" s="17" t="str" cm="1">
        <f t="array" ref="Q41">_xlfn.IFS(P41&gt;=14,"Best Customers",AND(P41&gt;=10,P41&lt;14),"Loyal Customers",AND(P41&gt;=7,P41&lt;10),"Potential Customers",AND(P41&gt;=4,P41&lt;7),"Need Attention",P41&lt;4,"At Risk")</f>
        <v>Potential Customers</v>
      </c>
    </row>
    <row r="42" spans="1:17" x14ac:dyDescent="0.35">
      <c r="A42" t="s">
        <v>90</v>
      </c>
      <c r="B42" t="s">
        <v>58</v>
      </c>
      <c r="C42" s="1">
        <v>45915.343007002317</v>
      </c>
      <c r="D42" t="s">
        <v>10</v>
      </c>
      <c r="E42">
        <v>17.350000000000001</v>
      </c>
      <c r="I42" s="17" t="s">
        <v>88</v>
      </c>
      <c r="J42" s="18">
        <v>226.65699074073927</v>
      </c>
      <c r="K42" s="17">
        <v>4</v>
      </c>
      <c r="L42" s="17">
        <v>106.78</v>
      </c>
      <c r="M42" s="17" cm="1">
        <f t="array" ref="M42">_xlfn.IFS(AND(J42&gt;=65,J42&lt;=141),5,AND(J42&gt;141,J42&lt;=213),4,AND(J42&gt;213,J42&lt;=285),3,AND(J42&gt;285,J42&lt;=357),2,AND(J42&gt;357,J42&lt;=430),1)</f>
        <v>3</v>
      </c>
      <c r="N42" s="17" cm="1">
        <f t="array" ref="N42">_xlfn.IFS(AND(K42&gt;=1,K42&lt;=2),1,AND(K42&gt;=3,K42&lt;=4),2,AND(K42&gt;=5,K42&lt;=6),3,AND(K42&gt;=6,K42&lt;=9),4,AND(K42&gt;=10,K42&lt;=12),5)</f>
        <v>2</v>
      </c>
      <c r="O42" s="17" cm="1">
        <f t="array" ref="O42">_xlfn.IFS(AND(L42&gt;=4.1,L42&lt;=41.49),1,AND(L42&gt;=41.5,L42&lt;=78.86),2,AND(L42&gt;=78.87,L42&lt;=116.23),3,AND(L42&gt;=116.24,L42&lt;=153.6),4,AND(L42&gt;=153.61,L42&lt;=190.97),5)</f>
        <v>3</v>
      </c>
      <c r="P42" s="17">
        <f t="shared" si="0"/>
        <v>8</v>
      </c>
      <c r="Q42" s="17" t="str" cm="1">
        <f t="array" ref="Q42">_xlfn.IFS(P42&gt;=14,"Best Customers",AND(P42&gt;=10,P42&lt;14),"Loyal Customers",AND(P42&gt;=7,P42&lt;10),"Potential Customers",AND(P42&gt;=4,P42&lt;7),"Need Attention",P42&lt;4,"At Risk")</f>
        <v>Potential Customers</v>
      </c>
    </row>
    <row r="43" spans="1:17" x14ac:dyDescent="0.35">
      <c r="A43" t="s">
        <v>91</v>
      </c>
      <c r="B43" t="s">
        <v>92</v>
      </c>
      <c r="C43" s="1">
        <v>45726.343007002317</v>
      </c>
      <c r="D43" t="s">
        <v>50</v>
      </c>
      <c r="E43">
        <v>4.01</v>
      </c>
      <c r="I43" s="17" t="s">
        <v>1210</v>
      </c>
      <c r="J43" s="18">
        <v>289.65699074073927</v>
      </c>
      <c r="K43" s="17">
        <v>1</v>
      </c>
      <c r="L43" s="17">
        <v>12.17</v>
      </c>
      <c r="M43" s="17" cm="1">
        <f t="array" ref="M43">_xlfn.IFS(AND(J43&gt;=65,J43&lt;=141),5,AND(J43&gt;141,J43&lt;=213),4,AND(J43&gt;213,J43&lt;=285),3,AND(J43&gt;285,J43&lt;=357),2,AND(J43&gt;357,J43&lt;=430),1)</f>
        <v>2</v>
      </c>
      <c r="N43" s="17" cm="1">
        <f t="array" ref="N43">_xlfn.IFS(AND(K43&gt;=1,K43&lt;=2),1,AND(K43&gt;=3,K43&lt;=4),2,AND(K43&gt;=5,K43&lt;=6),3,AND(K43&gt;=6,K43&lt;=9),4,AND(K43&gt;=10,K43&lt;=12),5)</f>
        <v>1</v>
      </c>
      <c r="O43" s="17" cm="1">
        <f t="array" ref="O43">_xlfn.IFS(AND(L43&gt;=4.1,L43&lt;=41.49),1,AND(L43&gt;=41.5,L43&lt;=78.86),2,AND(L43&gt;=78.87,L43&lt;=116.23),3,AND(L43&gt;=116.24,L43&lt;=153.6),4,AND(L43&gt;=153.61,L43&lt;=190.97),5)</f>
        <v>1</v>
      </c>
      <c r="P43" s="17">
        <f t="shared" si="0"/>
        <v>4</v>
      </c>
      <c r="Q43" s="17" t="str" cm="1">
        <f t="array" ref="Q43">_xlfn.IFS(P43&gt;=14,"Best Customers",AND(P43&gt;=10,P43&lt;14),"Loyal Customers",AND(P43&gt;=7,P43&lt;10),"Potential Customers",AND(P43&gt;=4,P43&lt;7),"Need Attention",P43&lt;4,"At Risk")</f>
        <v>Need Attention</v>
      </c>
    </row>
    <row r="44" spans="1:17" x14ac:dyDescent="0.35">
      <c r="A44" t="s">
        <v>93</v>
      </c>
      <c r="B44" t="s">
        <v>94</v>
      </c>
      <c r="C44" s="1">
        <v>45902.343007002317</v>
      </c>
      <c r="D44" t="s">
        <v>7</v>
      </c>
      <c r="E44">
        <v>32.64</v>
      </c>
      <c r="I44" s="17" t="s">
        <v>565</v>
      </c>
      <c r="J44" s="18">
        <v>181.65699074073927</v>
      </c>
      <c r="K44" s="17">
        <v>2</v>
      </c>
      <c r="L44" s="17">
        <v>10.379999999999999</v>
      </c>
      <c r="M44" s="17" cm="1">
        <f t="array" ref="M44">_xlfn.IFS(AND(J44&gt;=65,J44&lt;=141),5,AND(J44&gt;141,J44&lt;=213),4,AND(J44&gt;213,J44&lt;=285),3,AND(J44&gt;285,J44&lt;=357),2,AND(J44&gt;357,J44&lt;=430),1)</f>
        <v>4</v>
      </c>
      <c r="N44" s="17" cm="1">
        <f t="array" ref="N44">_xlfn.IFS(AND(K44&gt;=1,K44&lt;=2),1,AND(K44&gt;=3,K44&lt;=4),2,AND(K44&gt;=5,K44&lt;=6),3,AND(K44&gt;=6,K44&lt;=9),4,AND(K44&gt;=10,K44&lt;=12),5)</f>
        <v>1</v>
      </c>
      <c r="O44" s="17" cm="1">
        <f t="array" ref="O44">_xlfn.IFS(AND(L44&gt;=4.1,L44&lt;=41.49),1,AND(L44&gt;=41.5,L44&lt;=78.86),2,AND(L44&gt;=78.87,L44&lt;=116.23),3,AND(L44&gt;=116.24,L44&lt;=153.6),4,AND(L44&gt;=153.61,L44&lt;=190.97),5)</f>
        <v>1</v>
      </c>
      <c r="P44" s="17">
        <f t="shared" si="0"/>
        <v>6</v>
      </c>
      <c r="Q44" s="17" t="str" cm="1">
        <f t="array" ref="Q44">_xlfn.IFS(P44&gt;=14,"Best Customers",AND(P44&gt;=10,P44&lt;14),"Loyal Customers",AND(P44&gt;=7,P44&lt;10),"Potential Customers",AND(P44&gt;=4,P44&lt;7),"Need Attention",P44&lt;4,"At Risk")</f>
        <v>Need Attention</v>
      </c>
    </row>
    <row r="45" spans="1:17" x14ac:dyDescent="0.35">
      <c r="A45" t="s">
        <v>95</v>
      </c>
      <c r="B45" t="s">
        <v>96</v>
      </c>
      <c r="C45" s="1">
        <v>45730.343007002317</v>
      </c>
      <c r="D45" t="s">
        <v>50</v>
      </c>
      <c r="E45">
        <v>5.21</v>
      </c>
      <c r="I45" s="17" t="s">
        <v>770</v>
      </c>
      <c r="J45" s="18">
        <v>149.65699074073927</v>
      </c>
      <c r="K45" s="17">
        <v>2</v>
      </c>
      <c r="L45" s="17">
        <v>23.240000000000002</v>
      </c>
      <c r="M45" s="17" cm="1">
        <f t="array" ref="M45">_xlfn.IFS(AND(J45&gt;=65,J45&lt;=141),5,AND(J45&gt;141,J45&lt;=213),4,AND(J45&gt;213,J45&lt;=285),3,AND(J45&gt;285,J45&lt;=357),2,AND(J45&gt;357,J45&lt;=430),1)</f>
        <v>4</v>
      </c>
      <c r="N45" s="17" cm="1">
        <f t="array" ref="N45">_xlfn.IFS(AND(K45&gt;=1,K45&lt;=2),1,AND(K45&gt;=3,K45&lt;=4),2,AND(K45&gt;=5,K45&lt;=6),3,AND(K45&gt;=6,K45&lt;=9),4,AND(K45&gt;=10,K45&lt;=12),5)</f>
        <v>1</v>
      </c>
      <c r="O45" s="17" cm="1">
        <f t="array" ref="O45">_xlfn.IFS(AND(L45&gt;=4.1,L45&lt;=41.49),1,AND(L45&gt;=41.5,L45&lt;=78.86),2,AND(L45&gt;=78.87,L45&lt;=116.23),3,AND(L45&gt;=116.24,L45&lt;=153.6),4,AND(L45&gt;=153.61,L45&lt;=190.97),5)</f>
        <v>1</v>
      </c>
      <c r="P45" s="17">
        <f t="shared" si="0"/>
        <v>6</v>
      </c>
      <c r="Q45" s="17" t="str" cm="1">
        <f t="array" ref="Q45">_xlfn.IFS(P45&gt;=14,"Best Customers",AND(P45&gt;=10,P45&lt;14),"Loyal Customers",AND(P45&gt;=7,P45&lt;10),"Potential Customers",AND(P45&gt;=4,P45&lt;7),"Need Attention",P45&lt;4,"At Risk")</f>
        <v>Need Attention</v>
      </c>
    </row>
    <row r="46" spans="1:17" x14ac:dyDescent="0.35">
      <c r="A46" t="s">
        <v>97</v>
      </c>
      <c r="B46" t="s">
        <v>98</v>
      </c>
      <c r="C46" s="1">
        <v>45616.343007002317</v>
      </c>
      <c r="D46" t="s">
        <v>16</v>
      </c>
      <c r="E46">
        <v>11.63</v>
      </c>
      <c r="I46" s="17" t="s">
        <v>495</v>
      </c>
      <c r="J46" s="18">
        <v>242.65699074073927</v>
      </c>
      <c r="K46" s="17">
        <v>4</v>
      </c>
      <c r="L46" s="17">
        <v>65.58</v>
      </c>
      <c r="M46" s="17" cm="1">
        <f t="array" ref="M46">_xlfn.IFS(AND(J46&gt;=65,J46&lt;=141),5,AND(J46&gt;141,J46&lt;=213),4,AND(J46&gt;213,J46&lt;=285),3,AND(J46&gt;285,J46&lt;=357),2,AND(J46&gt;357,J46&lt;=430),1)</f>
        <v>3</v>
      </c>
      <c r="N46" s="17" cm="1">
        <f t="array" ref="N46">_xlfn.IFS(AND(K46&gt;=1,K46&lt;=2),1,AND(K46&gt;=3,K46&lt;=4),2,AND(K46&gt;=5,K46&lt;=6),3,AND(K46&gt;=6,K46&lt;=9),4,AND(K46&gt;=10,K46&lt;=12),5)</f>
        <v>2</v>
      </c>
      <c r="O46" s="17" cm="1">
        <f t="array" ref="O46">_xlfn.IFS(AND(L46&gt;=4.1,L46&lt;=41.49),1,AND(L46&gt;=41.5,L46&lt;=78.86),2,AND(L46&gt;=78.87,L46&lt;=116.23),3,AND(L46&gt;=116.24,L46&lt;=153.6),4,AND(L46&gt;=153.61,L46&lt;=190.97),5)</f>
        <v>2</v>
      </c>
      <c r="P46" s="17">
        <f t="shared" si="0"/>
        <v>7</v>
      </c>
      <c r="Q46" s="17" t="str" cm="1">
        <f t="array" ref="Q46">_xlfn.IFS(P46&gt;=14,"Best Customers",AND(P46&gt;=10,P46&lt;14),"Loyal Customers",AND(P46&gt;=7,P46&lt;10),"Potential Customers",AND(P46&gt;=4,P46&lt;7),"Need Attention",P46&lt;4,"At Risk")</f>
        <v>Potential Customers</v>
      </c>
    </row>
    <row r="47" spans="1:17" x14ac:dyDescent="0.35">
      <c r="A47" t="s">
        <v>99</v>
      </c>
      <c r="B47" t="s">
        <v>100</v>
      </c>
      <c r="C47" s="1">
        <v>45924.343007002317</v>
      </c>
      <c r="D47" t="s">
        <v>50</v>
      </c>
      <c r="E47">
        <v>4.4800000000000004</v>
      </c>
      <c r="I47" s="17" t="s">
        <v>171</v>
      </c>
      <c r="J47" s="18">
        <v>187.65699074073927</v>
      </c>
      <c r="K47" s="17">
        <v>4</v>
      </c>
      <c r="L47" s="17">
        <v>90.01</v>
      </c>
      <c r="M47" s="17" cm="1">
        <f t="array" ref="M47">_xlfn.IFS(AND(J47&gt;=65,J47&lt;=141),5,AND(J47&gt;141,J47&lt;=213),4,AND(J47&gt;213,J47&lt;=285),3,AND(J47&gt;285,J47&lt;=357),2,AND(J47&gt;357,J47&lt;=430),1)</f>
        <v>4</v>
      </c>
      <c r="N47" s="17" cm="1">
        <f t="array" ref="N47">_xlfn.IFS(AND(K47&gt;=1,K47&lt;=2),1,AND(K47&gt;=3,K47&lt;=4),2,AND(K47&gt;=5,K47&lt;=6),3,AND(K47&gt;=6,K47&lt;=9),4,AND(K47&gt;=10,K47&lt;=12),5)</f>
        <v>2</v>
      </c>
      <c r="O47" s="17" cm="1">
        <f t="array" ref="O47">_xlfn.IFS(AND(L47&gt;=4.1,L47&lt;=41.49),1,AND(L47&gt;=41.5,L47&lt;=78.86),2,AND(L47&gt;=78.87,L47&lt;=116.23),3,AND(L47&gt;=116.24,L47&lt;=153.6),4,AND(L47&gt;=153.61,L47&lt;=190.97),5)</f>
        <v>3</v>
      </c>
      <c r="P47" s="17">
        <f t="shared" si="0"/>
        <v>9</v>
      </c>
      <c r="Q47" s="17" t="str" cm="1">
        <f t="array" ref="Q47">_xlfn.IFS(P47&gt;=14,"Best Customers",AND(P47&gt;=10,P47&lt;14),"Loyal Customers",AND(P47&gt;=7,P47&lt;10),"Potential Customers",AND(P47&gt;=4,P47&lt;7),"Need Attention",P47&lt;4,"At Risk")</f>
        <v>Potential Customers</v>
      </c>
    </row>
    <row r="48" spans="1:17" x14ac:dyDescent="0.35">
      <c r="A48" t="s">
        <v>101</v>
      </c>
      <c r="B48" t="s">
        <v>102</v>
      </c>
      <c r="C48" s="1">
        <v>45762.343007002317</v>
      </c>
      <c r="D48" t="s">
        <v>29</v>
      </c>
      <c r="E48">
        <v>24.7</v>
      </c>
      <c r="I48" s="17" t="s">
        <v>289</v>
      </c>
      <c r="J48" s="18">
        <v>264.65699074073927</v>
      </c>
      <c r="K48" s="17">
        <v>4</v>
      </c>
      <c r="L48" s="17">
        <v>32.14</v>
      </c>
      <c r="M48" s="17" cm="1">
        <f t="array" ref="M48">_xlfn.IFS(AND(J48&gt;=65,J48&lt;=141),5,AND(J48&gt;141,J48&lt;=213),4,AND(J48&gt;213,J48&lt;=285),3,AND(J48&gt;285,J48&lt;=357),2,AND(J48&gt;357,J48&lt;=430),1)</f>
        <v>3</v>
      </c>
      <c r="N48" s="17" cm="1">
        <f t="array" ref="N48">_xlfn.IFS(AND(K48&gt;=1,K48&lt;=2),1,AND(K48&gt;=3,K48&lt;=4),2,AND(K48&gt;=5,K48&lt;=6),3,AND(K48&gt;=6,K48&lt;=9),4,AND(K48&gt;=10,K48&lt;=12),5)</f>
        <v>2</v>
      </c>
      <c r="O48" s="17" cm="1">
        <f t="array" ref="O48">_xlfn.IFS(AND(L48&gt;=4.1,L48&lt;=41.49),1,AND(L48&gt;=41.5,L48&lt;=78.86),2,AND(L48&gt;=78.87,L48&lt;=116.23),3,AND(L48&gt;=116.24,L48&lt;=153.6),4,AND(L48&gt;=153.61,L48&lt;=190.97),5)</f>
        <v>1</v>
      </c>
      <c r="P48" s="17">
        <f t="shared" si="0"/>
        <v>6</v>
      </c>
      <c r="Q48" s="17" t="str" cm="1">
        <f t="array" ref="Q48">_xlfn.IFS(P48&gt;=14,"Best Customers",AND(P48&gt;=10,P48&lt;14),"Loyal Customers",AND(P48&gt;=7,P48&lt;10),"Potential Customers",AND(P48&gt;=4,P48&lt;7),"Need Attention",P48&lt;4,"At Risk")</f>
        <v>Need Attention</v>
      </c>
    </row>
    <row r="49" spans="1:17" x14ac:dyDescent="0.35">
      <c r="A49" t="s">
        <v>103</v>
      </c>
      <c r="B49" t="s">
        <v>104</v>
      </c>
      <c r="C49" s="1">
        <v>45869.343007002317</v>
      </c>
      <c r="D49" t="s">
        <v>16</v>
      </c>
      <c r="E49">
        <v>9.8000000000000007</v>
      </c>
      <c r="I49" s="17" t="s">
        <v>898</v>
      </c>
      <c r="J49" s="18">
        <v>217.65699074073927</v>
      </c>
      <c r="K49" s="17">
        <v>3</v>
      </c>
      <c r="L49" s="17">
        <v>32.49</v>
      </c>
      <c r="M49" s="17" cm="1">
        <f t="array" ref="M49">_xlfn.IFS(AND(J49&gt;=65,J49&lt;=141),5,AND(J49&gt;141,J49&lt;=213),4,AND(J49&gt;213,J49&lt;=285),3,AND(J49&gt;285,J49&lt;=357),2,AND(J49&gt;357,J49&lt;=430),1)</f>
        <v>3</v>
      </c>
      <c r="N49" s="17" cm="1">
        <f t="array" ref="N49">_xlfn.IFS(AND(K49&gt;=1,K49&lt;=2),1,AND(K49&gt;=3,K49&lt;=4),2,AND(K49&gt;=5,K49&lt;=6),3,AND(K49&gt;=6,K49&lt;=9),4,AND(K49&gt;=10,K49&lt;=12),5)</f>
        <v>2</v>
      </c>
      <c r="O49" s="17" cm="1">
        <f t="array" ref="O49">_xlfn.IFS(AND(L49&gt;=4.1,L49&lt;=41.49),1,AND(L49&gt;=41.5,L49&lt;=78.86),2,AND(L49&gt;=78.87,L49&lt;=116.23),3,AND(L49&gt;=116.24,L49&lt;=153.6),4,AND(L49&gt;=153.61,L49&lt;=190.97),5)</f>
        <v>1</v>
      </c>
      <c r="P49" s="17">
        <f t="shared" si="0"/>
        <v>6</v>
      </c>
      <c r="Q49" s="17" t="str" cm="1">
        <f t="array" ref="Q49">_xlfn.IFS(P49&gt;=14,"Best Customers",AND(P49&gt;=10,P49&lt;14),"Loyal Customers",AND(P49&gt;=7,P49&lt;10),"Potential Customers",AND(P49&gt;=4,P49&lt;7),"Need Attention",P49&lt;4,"At Risk")</f>
        <v>Need Attention</v>
      </c>
    </row>
    <row r="50" spans="1:17" x14ac:dyDescent="0.35">
      <c r="A50" t="s">
        <v>105</v>
      </c>
      <c r="B50" t="s">
        <v>106</v>
      </c>
      <c r="C50" s="1">
        <v>45684.343007002317</v>
      </c>
      <c r="D50" t="s">
        <v>13</v>
      </c>
      <c r="E50">
        <v>11.87</v>
      </c>
      <c r="I50" s="17" t="s">
        <v>223</v>
      </c>
      <c r="J50" s="18">
        <v>141.65699074073927</v>
      </c>
      <c r="K50" s="17">
        <v>3</v>
      </c>
      <c r="L50" s="17">
        <v>86.679999999999993</v>
      </c>
      <c r="M50" s="17" cm="1">
        <f t="array" ref="M50">_xlfn.IFS(AND(J50&gt;=65,J50&lt;=141),5,AND(J50&gt;141,J50&lt;=213),4,AND(J50&gt;213,J50&lt;=285),3,AND(J50&gt;285,J50&lt;=357),2,AND(J50&gt;357,J50&lt;=430),1)</f>
        <v>4</v>
      </c>
      <c r="N50" s="17" cm="1">
        <f t="array" ref="N50">_xlfn.IFS(AND(K50&gt;=1,K50&lt;=2),1,AND(K50&gt;=3,K50&lt;=4),2,AND(K50&gt;=5,K50&lt;=6),3,AND(K50&gt;=6,K50&lt;=9),4,AND(K50&gt;=10,K50&lt;=12),5)</f>
        <v>2</v>
      </c>
      <c r="O50" s="17" cm="1">
        <f t="array" ref="O50">_xlfn.IFS(AND(L50&gt;=4.1,L50&lt;=41.49),1,AND(L50&gt;=41.5,L50&lt;=78.86),2,AND(L50&gt;=78.87,L50&lt;=116.23),3,AND(L50&gt;=116.24,L50&lt;=153.6),4,AND(L50&gt;=153.61,L50&lt;=190.97),5)</f>
        <v>3</v>
      </c>
      <c r="P50" s="17">
        <f t="shared" si="0"/>
        <v>9</v>
      </c>
      <c r="Q50" s="17" t="str" cm="1">
        <f t="array" ref="Q50">_xlfn.IFS(P50&gt;=14,"Best Customers",AND(P50&gt;=10,P50&lt;14),"Loyal Customers",AND(P50&gt;=7,P50&lt;10),"Potential Customers",AND(P50&gt;=4,P50&lt;7),"Need Attention",P50&lt;4,"At Risk")</f>
        <v>Potential Customers</v>
      </c>
    </row>
    <row r="51" spans="1:17" x14ac:dyDescent="0.35">
      <c r="A51" t="s">
        <v>107</v>
      </c>
      <c r="B51" t="s">
        <v>108</v>
      </c>
      <c r="C51" s="1">
        <v>45911.343007002317</v>
      </c>
      <c r="D51" t="s">
        <v>7</v>
      </c>
      <c r="E51">
        <v>41.96</v>
      </c>
      <c r="I51" s="17" t="s">
        <v>677</v>
      </c>
      <c r="J51" s="18">
        <v>116.65699074073927</v>
      </c>
      <c r="K51" s="17">
        <v>2</v>
      </c>
      <c r="L51" s="17">
        <v>52.57</v>
      </c>
      <c r="M51" s="17" cm="1">
        <f t="array" ref="M51">_xlfn.IFS(AND(J51&gt;=65,J51&lt;=141),5,AND(J51&gt;141,J51&lt;=213),4,AND(J51&gt;213,J51&lt;=285),3,AND(J51&gt;285,J51&lt;=357),2,AND(J51&gt;357,J51&lt;=430),1)</f>
        <v>5</v>
      </c>
      <c r="N51" s="17" cm="1">
        <f t="array" ref="N51">_xlfn.IFS(AND(K51&gt;=1,K51&lt;=2),1,AND(K51&gt;=3,K51&lt;=4),2,AND(K51&gt;=5,K51&lt;=6),3,AND(K51&gt;=6,K51&lt;=9),4,AND(K51&gt;=10,K51&lt;=12),5)</f>
        <v>1</v>
      </c>
      <c r="O51" s="17" cm="1">
        <f t="array" ref="O51">_xlfn.IFS(AND(L51&gt;=4.1,L51&lt;=41.49),1,AND(L51&gt;=41.5,L51&lt;=78.86),2,AND(L51&gt;=78.87,L51&lt;=116.23),3,AND(L51&gt;=116.24,L51&lt;=153.6),4,AND(L51&gt;=153.61,L51&lt;=190.97),5)</f>
        <v>2</v>
      </c>
      <c r="P51" s="17">
        <f t="shared" si="0"/>
        <v>8</v>
      </c>
      <c r="Q51" s="17" t="str" cm="1">
        <f t="array" ref="Q51">_xlfn.IFS(P51&gt;=14,"Best Customers",AND(P51&gt;=10,P51&lt;14),"Loyal Customers",AND(P51&gt;=7,P51&lt;10),"Potential Customers",AND(P51&gt;=4,P51&lt;7),"Need Attention",P51&lt;4,"At Risk")</f>
        <v>Potential Customers</v>
      </c>
    </row>
    <row r="52" spans="1:17" x14ac:dyDescent="0.35">
      <c r="A52" t="s">
        <v>109</v>
      </c>
      <c r="B52" t="s">
        <v>110</v>
      </c>
      <c r="C52" s="1">
        <v>45609.343007002317</v>
      </c>
      <c r="D52" t="s">
        <v>29</v>
      </c>
      <c r="E52">
        <v>24.7</v>
      </c>
      <c r="I52" s="17" t="s">
        <v>420</v>
      </c>
      <c r="J52" s="18">
        <v>88.656990740739275</v>
      </c>
      <c r="K52" s="17">
        <v>2</v>
      </c>
      <c r="L52" s="17">
        <v>13.86</v>
      </c>
      <c r="M52" s="17" cm="1">
        <f t="array" ref="M52">_xlfn.IFS(AND(J52&gt;=65,J52&lt;=141),5,AND(J52&gt;141,J52&lt;=213),4,AND(J52&gt;213,J52&lt;=285),3,AND(J52&gt;285,J52&lt;=357),2,AND(J52&gt;357,J52&lt;=430),1)</f>
        <v>5</v>
      </c>
      <c r="N52" s="17" cm="1">
        <f t="array" ref="N52">_xlfn.IFS(AND(K52&gt;=1,K52&lt;=2),1,AND(K52&gt;=3,K52&lt;=4),2,AND(K52&gt;=5,K52&lt;=6),3,AND(K52&gt;=6,K52&lt;=9),4,AND(K52&gt;=10,K52&lt;=12),5)</f>
        <v>1</v>
      </c>
      <c r="O52" s="17" cm="1">
        <f t="array" ref="O52">_xlfn.IFS(AND(L52&gt;=4.1,L52&lt;=41.49),1,AND(L52&gt;=41.5,L52&lt;=78.86),2,AND(L52&gt;=78.87,L52&lt;=116.23),3,AND(L52&gt;=116.24,L52&lt;=153.6),4,AND(L52&gt;=153.61,L52&lt;=190.97),5)</f>
        <v>1</v>
      </c>
      <c r="P52" s="17">
        <f t="shared" si="0"/>
        <v>7</v>
      </c>
      <c r="Q52" s="17" t="str" cm="1">
        <f t="array" ref="Q52">_xlfn.IFS(P52&gt;=14,"Best Customers",AND(P52&gt;=10,P52&lt;14),"Loyal Customers",AND(P52&gt;=7,P52&lt;10),"Potential Customers",AND(P52&gt;=4,P52&lt;7),"Need Attention",P52&lt;4,"At Risk")</f>
        <v>Potential Customers</v>
      </c>
    </row>
    <row r="53" spans="1:17" x14ac:dyDescent="0.35">
      <c r="A53" t="s">
        <v>111</v>
      </c>
      <c r="B53" t="s">
        <v>112</v>
      </c>
      <c r="C53" s="1">
        <v>45837.343007002317</v>
      </c>
      <c r="D53" t="s">
        <v>13</v>
      </c>
      <c r="E53">
        <v>11.75</v>
      </c>
      <c r="I53" s="17" t="s">
        <v>355</v>
      </c>
      <c r="J53" s="18">
        <v>162.65699074073927</v>
      </c>
      <c r="K53" s="17">
        <v>2</v>
      </c>
      <c r="L53" s="17">
        <v>14.21</v>
      </c>
      <c r="M53" s="17" cm="1">
        <f t="array" ref="M53">_xlfn.IFS(AND(J53&gt;=65,J53&lt;=141),5,AND(J53&gt;141,J53&lt;=213),4,AND(J53&gt;213,J53&lt;=285),3,AND(J53&gt;285,J53&lt;=357),2,AND(J53&gt;357,J53&lt;=430),1)</f>
        <v>4</v>
      </c>
      <c r="N53" s="17" cm="1">
        <f t="array" ref="N53">_xlfn.IFS(AND(K53&gt;=1,K53&lt;=2),1,AND(K53&gt;=3,K53&lt;=4),2,AND(K53&gt;=5,K53&lt;=6),3,AND(K53&gt;=6,K53&lt;=9),4,AND(K53&gt;=10,K53&lt;=12),5)</f>
        <v>1</v>
      </c>
      <c r="O53" s="17" cm="1">
        <f t="array" ref="O53">_xlfn.IFS(AND(L53&gt;=4.1,L53&lt;=41.49),1,AND(L53&gt;=41.5,L53&lt;=78.86),2,AND(L53&gt;=78.87,L53&lt;=116.23),3,AND(L53&gt;=116.24,L53&lt;=153.6),4,AND(L53&gt;=153.61,L53&lt;=190.97),5)</f>
        <v>1</v>
      </c>
      <c r="P53" s="17">
        <f t="shared" si="0"/>
        <v>6</v>
      </c>
      <c r="Q53" s="17" t="str" cm="1">
        <f t="array" ref="Q53">_xlfn.IFS(P53&gt;=14,"Best Customers",AND(P53&gt;=10,P53&lt;14),"Loyal Customers",AND(P53&gt;=7,P53&lt;10),"Potential Customers",AND(P53&gt;=4,P53&lt;7),"Need Attention",P53&lt;4,"At Risk")</f>
        <v>Need Attention</v>
      </c>
    </row>
    <row r="54" spans="1:17" x14ac:dyDescent="0.35">
      <c r="A54" t="s">
        <v>113</v>
      </c>
      <c r="B54" t="s">
        <v>114</v>
      </c>
      <c r="C54" s="1">
        <v>45860.343007002317</v>
      </c>
      <c r="D54" t="s">
        <v>50</v>
      </c>
      <c r="E54">
        <v>4.95</v>
      </c>
      <c r="I54" s="17" t="s">
        <v>241</v>
      </c>
      <c r="J54" s="18">
        <v>178.65699074073927</v>
      </c>
      <c r="K54" s="17">
        <v>5</v>
      </c>
      <c r="L54" s="17">
        <v>81.3</v>
      </c>
      <c r="M54" s="17" cm="1">
        <f t="array" ref="M54">_xlfn.IFS(AND(J54&gt;=65,J54&lt;=141),5,AND(J54&gt;141,J54&lt;=213),4,AND(J54&gt;213,J54&lt;=285),3,AND(J54&gt;285,J54&lt;=357),2,AND(J54&gt;357,J54&lt;=430),1)</f>
        <v>4</v>
      </c>
      <c r="N54" s="17" cm="1">
        <f t="array" ref="N54">_xlfn.IFS(AND(K54&gt;=1,K54&lt;=2),1,AND(K54&gt;=3,K54&lt;=4),2,AND(K54&gt;=5,K54&lt;=6),3,AND(K54&gt;=6,K54&lt;=9),4,AND(K54&gt;=10,K54&lt;=12),5)</f>
        <v>3</v>
      </c>
      <c r="O54" s="17" cm="1">
        <f t="array" ref="O54">_xlfn.IFS(AND(L54&gt;=4.1,L54&lt;=41.49),1,AND(L54&gt;=41.5,L54&lt;=78.86),2,AND(L54&gt;=78.87,L54&lt;=116.23),3,AND(L54&gt;=116.24,L54&lt;=153.6),4,AND(L54&gt;=153.61,L54&lt;=190.97),5)</f>
        <v>3</v>
      </c>
      <c r="P54" s="17">
        <f t="shared" si="0"/>
        <v>10</v>
      </c>
      <c r="Q54" s="17" t="str" cm="1">
        <f t="array" ref="Q54">_xlfn.IFS(P54&gt;=14,"Best Customers",AND(P54&gt;=10,P54&lt;14),"Loyal Customers",AND(P54&gt;=7,P54&lt;10),"Potential Customers",AND(P54&gt;=4,P54&lt;7),"Need Attention",P54&lt;4,"At Risk")</f>
        <v>Loyal Customers</v>
      </c>
    </row>
    <row r="55" spans="1:17" x14ac:dyDescent="0.35">
      <c r="A55" t="s">
        <v>115</v>
      </c>
      <c r="B55" t="s">
        <v>94</v>
      </c>
      <c r="C55" s="1">
        <v>45941.343007002317</v>
      </c>
      <c r="D55" t="s">
        <v>16</v>
      </c>
      <c r="E55">
        <v>10.36</v>
      </c>
      <c r="I55" s="17" t="s">
        <v>754</v>
      </c>
      <c r="J55" s="18">
        <v>94.656990740739275</v>
      </c>
      <c r="K55" s="17">
        <v>1</v>
      </c>
      <c r="L55" s="17">
        <v>10.48</v>
      </c>
      <c r="M55" s="17" cm="1">
        <f t="array" ref="M55">_xlfn.IFS(AND(J55&gt;=65,J55&lt;=141),5,AND(J55&gt;141,J55&lt;=213),4,AND(J55&gt;213,J55&lt;=285),3,AND(J55&gt;285,J55&lt;=357),2,AND(J55&gt;357,J55&lt;=430),1)</f>
        <v>5</v>
      </c>
      <c r="N55" s="17" cm="1">
        <f t="array" ref="N55">_xlfn.IFS(AND(K55&gt;=1,K55&lt;=2),1,AND(K55&gt;=3,K55&lt;=4),2,AND(K55&gt;=5,K55&lt;=6),3,AND(K55&gt;=6,K55&lt;=9),4,AND(K55&gt;=10,K55&lt;=12),5)</f>
        <v>1</v>
      </c>
      <c r="O55" s="17" cm="1">
        <f t="array" ref="O55">_xlfn.IFS(AND(L55&gt;=4.1,L55&lt;=41.49),1,AND(L55&gt;=41.5,L55&lt;=78.86),2,AND(L55&gt;=78.87,L55&lt;=116.23),3,AND(L55&gt;=116.24,L55&lt;=153.6),4,AND(L55&gt;=153.61,L55&lt;=190.97),5)</f>
        <v>1</v>
      </c>
      <c r="P55" s="17">
        <f t="shared" si="0"/>
        <v>7</v>
      </c>
      <c r="Q55" s="17" t="str" cm="1">
        <f t="array" ref="Q55">_xlfn.IFS(P55&gt;=14,"Best Customers",AND(P55&gt;=10,P55&lt;14),"Loyal Customers",AND(P55&gt;=7,P55&lt;10),"Potential Customers",AND(P55&gt;=4,P55&lt;7),"Need Attention",P55&lt;4,"At Risk")</f>
        <v>Potential Customers</v>
      </c>
    </row>
    <row r="56" spans="1:17" x14ac:dyDescent="0.35">
      <c r="A56" t="s">
        <v>116</v>
      </c>
      <c r="B56" t="s">
        <v>94</v>
      </c>
      <c r="C56" s="1">
        <v>45648.343007002317</v>
      </c>
      <c r="D56" t="s">
        <v>7</v>
      </c>
      <c r="E56">
        <v>40.590000000000003</v>
      </c>
      <c r="I56" s="17" t="s">
        <v>568</v>
      </c>
      <c r="J56" s="18">
        <v>178.65699074073927</v>
      </c>
      <c r="K56" s="17">
        <v>1</v>
      </c>
      <c r="L56" s="17">
        <v>24.63</v>
      </c>
      <c r="M56" s="17" cm="1">
        <f t="array" ref="M56">_xlfn.IFS(AND(J56&gt;=65,J56&lt;=141),5,AND(J56&gt;141,J56&lt;=213),4,AND(J56&gt;213,J56&lt;=285),3,AND(J56&gt;285,J56&lt;=357),2,AND(J56&gt;357,J56&lt;=430),1)</f>
        <v>4</v>
      </c>
      <c r="N56" s="17" cm="1">
        <f t="array" ref="N56">_xlfn.IFS(AND(K56&gt;=1,K56&lt;=2),1,AND(K56&gt;=3,K56&lt;=4),2,AND(K56&gt;=5,K56&lt;=6),3,AND(K56&gt;=6,K56&lt;=9),4,AND(K56&gt;=10,K56&lt;=12),5)</f>
        <v>1</v>
      </c>
      <c r="O56" s="17" cm="1">
        <f t="array" ref="O56">_xlfn.IFS(AND(L56&gt;=4.1,L56&lt;=41.49),1,AND(L56&gt;=41.5,L56&lt;=78.86),2,AND(L56&gt;=78.87,L56&lt;=116.23),3,AND(L56&gt;=116.24,L56&lt;=153.6),4,AND(L56&gt;=153.61,L56&lt;=190.97),5)</f>
        <v>1</v>
      </c>
      <c r="P56" s="17">
        <f t="shared" si="0"/>
        <v>6</v>
      </c>
      <c r="Q56" s="17" t="str" cm="1">
        <f t="array" ref="Q56">_xlfn.IFS(P56&gt;=14,"Best Customers",AND(P56&gt;=10,P56&lt;14),"Loyal Customers",AND(P56&gt;=7,P56&lt;10),"Potential Customers",AND(P56&gt;=4,P56&lt;7),"Need Attention",P56&lt;4,"At Risk")</f>
        <v>Need Attention</v>
      </c>
    </row>
    <row r="57" spans="1:17" x14ac:dyDescent="0.35">
      <c r="A57" t="s">
        <v>117</v>
      </c>
      <c r="B57" t="s">
        <v>118</v>
      </c>
      <c r="C57" s="1">
        <v>45935.343007002317</v>
      </c>
      <c r="D57" t="s">
        <v>29</v>
      </c>
      <c r="E57">
        <v>28.54</v>
      </c>
      <c r="I57" s="17" t="s">
        <v>848</v>
      </c>
      <c r="J57" s="18">
        <v>204.65699074073927</v>
      </c>
      <c r="K57" s="17">
        <v>2</v>
      </c>
      <c r="L57" s="17">
        <v>83.66</v>
      </c>
      <c r="M57" s="17" cm="1">
        <f t="array" ref="M57">_xlfn.IFS(AND(J57&gt;=65,J57&lt;=141),5,AND(J57&gt;141,J57&lt;=213),4,AND(J57&gt;213,J57&lt;=285),3,AND(J57&gt;285,J57&lt;=357),2,AND(J57&gt;357,J57&lt;=430),1)</f>
        <v>4</v>
      </c>
      <c r="N57" s="17" cm="1">
        <f t="array" ref="N57">_xlfn.IFS(AND(K57&gt;=1,K57&lt;=2),1,AND(K57&gt;=3,K57&lt;=4),2,AND(K57&gt;=5,K57&lt;=6),3,AND(K57&gt;=6,K57&lt;=9),4,AND(K57&gt;=10,K57&lt;=12),5)</f>
        <v>1</v>
      </c>
      <c r="O57" s="17" cm="1">
        <f t="array" ref="O57">_xlfn.IFS(AND(L57&gt;=4.1,L57&lt;=41.49),1,AND(L57&gt;=41.5,L57&lt;=78.86),2,AND(L57&gt;=78.87,L57&lt;=116.23),3,AND(L57&gt;=116.24,L57&lt;=153.6),4,AND(L57&gt;=153.61,L57&lt;=190.97),5)</f>
        <v>3</v>
      </c>
      <c r="P57" s="17">
        <f t="shared" si="0"/>
        <v>8</v>
      </c>
      <c r="Q57" s="17" t="str" cm="1">
        <f t="array" ref="Q57">_xlfn.IFS(P57&gt;=14,"Best Customers",AND(P57&gt;=10,P57&lt;14),"Loyal Customers",AND(P57&gt;=7,P57&lt;10),"Potential Customers",AND(P57&gt;=4,P57&lt;7),"Need Attention",P57&lt;4,"At Risk")</f>
        <v>Potential Customers</v>
      </c>
    </row>
    <row r="58" spans="1:17" x14ac:dyDescent="0.35">
      <c r="A58" t="s">
        <v>119</v>
      </c>
      <c r="B58" t="s">
        <v>120</v>
      </c>
      <c r="C58" s="1">
        <v>45687.343007002317</v>
      </c>
      <c r="D58" t="s">
        <v>13</v>
      </c>
      <c r="E58">
        <v>9.84</v>
      </c>
      <c r="I58" s="17" t="s">
        <v>429</v>
      </c>
      <c r="J58" s="18">
        <v>92.656990740739275</v>
      </c>
      <c r="K58" s="17">
        <v>7</v>
      </c>
      <c r="L58" s="17">
        <v>99.24</v>
      </c>
      <c r="M58" s="17" cm="1">
        <f t="array" ref="M58">_xlfn.IFS(AND(J58&gt;=65,J58&lt;=141),5,AND(J58&gt;141,J58&lt;=213),4,AND(J58&gt;213,J58&lt;=285),3,AND(J58&gt;285,J58&lt;=357),2,AND(J58&gt;357,J58&lt;=430),1)</f>
        <v>5</v>
      </c>
      <c r="N58" s="17" cm="1">
        <f t="array" ref="N58">_xlfn.IFS(AND(K58&gt;=1,K58&lt;=2),1,AND(K58&gt;=3,K58&lt;=4),2,AND(K58&gt;=5,K58&lt;=6),3,AND(K58&gt;=6,K58&lt;=9),4,AND(K58&gt;=10,K58&lt;=12),5)</f>
        <v>4</v>
      </c>
      <c r="O58" s="17" cm="1">
        <f t="array" ref="O58">_xlfn.IFS(AND(L58&gt;=4.1,L58&lt;=41.49),1,AND(L58&gt;=41.5,L58&lt;=78.86),2,AND(L58&gt;=78.87,L58&lt;=116.23),3,AND(L58&gt;=116.24,L58&lt;=153.6),4,AND(L58&gt;=153.61,L58&lt;=190.97),5)</f>
        <v>3</v>
      </c>
      <c r="P58" s="17">
        <f t="shared" si="0"/>
        <v>12</v>
      </c>
      <c r="Q58" s="17" t="str" cm="1">
        <f t="array" ref="Q58">_xlfn.IFS(P58&gt;=14,"Best Customers",AND(P58&gt;=10,P58&lt;14),"Loyal Customers",AND(P58&gt;=7,P58&lt;10),"Potential Customers",AND(P58&gt;=4,P58&lt;7),"Need Attention",P58&lt;4,"At Risk")</f>
        <v>Loyal Customers</v>
      </c>
    </row>
    <row r="59" spans="1:17" x14ac:dyDescent="0.35">
      <c r="A59" t="s">
        <v>121</v>
      </c>
      <c r="B59" t="s">
        <v>122</v>
      </c>
      <c r="C59" s="1">
        <v>45859.343007002317</v>
      </c>
      <c r="D59" t="s">
        <v>13</v>
      </c>
      <c r="E59">
        <v>13.6</v>
      </c>
      <c r="I59" s="17" t="s">
        <v>60</v>
      </c>
      <c r="J59" s="18">
        <v>95.656990740739275</v>
      </c>
      <c r="K59" s="17">
        <v>4</v>
      </c>
      <c r="L59" s="17">
        <v>88.919999999999987</v>
      </c>
      <c r="M59" s="17" cm="1">
        <f t="array" ref="M59">_xlfn.IFS(AND(J59&gt;=65,J59&lt;=141),5,AND(J59&gt;141,J59&lt;=213),4,AND(J59&gt;213,J59&lt;=285),3,AND(J59&gt;285,J59&lt;=357),2,AND(J59&gt;357,J59&lt;=430),1)</f>
        <v>5</v>
      </c>
      <c r="N59" s="17" cm="1">
        <f t="array" ref="N59">_xlfn.IFS(AND(K59&gt;=1,K59&lt;=2),1,AND(K59&gt;=3,K59&lt;=4),2,AND(K59&gt;=5,K59&lt;=6),3,AND(K59&gt;=6,K59&lt;=9),4,AND(K59&gt;=10,K59&lt;=12),5)</f>
        <v>2</v>
      </c>
      <c r="O59" s="17" cm="1">
        <f t="array" ref="O59">_xlfn.IFS(AND(L59&gt;=4.1,L59&lt;=41.49),1,AND(L59&gt;=41.5,L59&lt;=78.86),2,AND(L59&gt;=78.87,L59&lt;=116.23),3,AND(L59&gt;=116.24,L59&lt;=153.6),4,AND(L59&gt;=153.61,L59&lt;=190.97),5)</f>
        <v>3</v>
      </c>
      <c r="P59" s="17">
        <f t="shared" si="0"/>
        <v>10</v>
      </c>
      <c r="Q59" s="17" t="str" cm="1">
        <f t="array" ref="Q59">_xlfn.IFS(P59&gt;=14,"Best Customers",AND(P59&gt;=10,P59&lt;14),"Loyal Customers",AND(P59&gt;=7,P59&lt;10),"Potential Customers",AND(P59&gt;=4,P59&lt;7),"Need Attention",P59&lt;4,"At Risk")</f>
        <v>Loyal Customers</v>
      </c>
    </row>
    <row r="60" spans="1:17" x14ac:dyDescent="0.35">
      <c r="A60" t="s">
        <v>123</v>
      </c>
      <c r="B60" t="s">
        <v>124</v>
      </c>
      <c r="C60" s="1">
        <v>45630.343007002317</v>
      </c>
      <c r="D60" t="s">
        <v>7</v>
      </c>
      <c r="E60">
        <v>45.5</v>
      </c>
      <c r="I60" s="17" t="s">
        <v>546</v>
      </c>
      <c r="J60" s="18">
        <v>280.65699074073927</v>
      </c>
      <c r="K60" s="17">
        <v>3</v>
      </c>
      <c r="L60" s="17">
        <v>46.61</v>
      </c>
      <c r="M60" s="17" cm="1">
        <f t="array" ref="M60">_xlfn.IFS(AND(J60&gt;=65,J60&lt;=141),5,AND(J60&gt;141,J60&lt;=213),4,AND(J60&gt;213,J60&lt;=285),3,AND(J60&gt;285,J60&lt;=357),2,AND(J60&gt;357,J60&lt;=430),1)</f>
        <v>3</v>
      </c>
      <c r="N60" s="17" cm="1">
        <f t="array" ref="N60">_xlfn.IFS(AND(K60&gt;=1,K60&lt;=2),1,AND(K60&gt;=3,K60&lt;=4),2,AND(K60&gt;=5,K60&lt;=6),3,AND(K60&gt;=6,K60&lt;=9),4,AND(K60&gt;=10,K60&lt;=12),5)</f>
        <v>2</v>
      </c>
      <c r="O60" s="17" cm="1">
        <f t="array" ref="O60">_xlfn.IFS(AND(L60&gt;=4.1,L60&lt;=41.49),1,AND(L60&gt;=41.5,L60&lt;=78.86),2,AND(L60&gt;=78.87,L60&lt;=116.23),3,AND(L60&gt;=116.24,L60&lt;=153.6),4,AND(L60&gt;=153.61,L60&lt;=190.97),5)</f>
        <v>2</v>
      </c>
      <c r="P60" s="17">
        <f t="shared" si="0"/>
        <v>7</v>
      </c>
      <c r="Q60" s="17" t="str" cm="1">
        <f t="array" ref="Q60">_xlfn.IFS(P60&gt;=14,"Best Customers",AND(P60&gt;=10,P60&lt;14),"Loyal Customers",AND(P60&gt;=7,P60&lt;10),"Potential Customers",AND(P60&gt;=4,P60&lt;7),"Need Attention",P60&lt;4,"At Risk")</f>
        <v>Potential Customers</v>
      </c>
    </row>
    <row r="61" spans="1:17" x14ac:dyDescent="0.35">
      <c r="A61" t="s">
        <v>125</v>
      </c>
      <c r="B61" t="s">
        <v>100</v>
      </c>
      <c r="C61" s="1">
        <v>45801.343007002317</v>
      </c>
      <c r="D61" t="s">
        <v>50</v>
      </c>
      <c r="E61">
        <v>4.57</v>
      </c>
      <c r="I61" s="17" t="s">
        <v>80</v>
      </c>
      <c r="J61" s="18">
        <v>244.65699074073927</v>
      </c>
      <c r="K61" s="17">
        <v>3</v>
      </c>
      <c r="L61" s="17">
        <v>51.039999999999992</v>
      </c>
      <c r="M61" s="17" cm="1">
        <f t="array" ref="M61">_xlfn.IFS(AND(J61&gt;=65,J61&lt;=141),5,AND(J61&gt;141,J61&lt;=213),4,AND(J61&gt;213,J61&lt;=285),3,AND(J61&gt;285,J61&lt;=357),2,AND(J61&gt;357,J61&lt;=430),1)</f>
        <v>3</v>
      </c>
      <c r="N61" s="17" cm="1">
        <f t="array" ref="N61">_xlfn.IFS(AND(K61&gt;=1,K61&lt;=2),1,AND(K61&gt;=3,K61&lt;=4),2,AND(K61&gt;=5,K61&lt;=6),3,AND(K61&gt;=6,K61&lt;=9),4,AND(K61&gt;=10,K61&lt;=12),5)</f>
        <v>2</v>
      </c>
      <c r="O61" s="17" cm="1">
        <f t="array" ref="O61">_xlfn.IFS(AND(L61&gt;=4.1,L61&lt;=41.49),1,AND(L61&gt;=41.5,L61&lt;=78.86),2,AND(L61&gt;=78.87,L61&lt;=116.23),3,AND(L61&gt;=116.24,L61&lt;=153.6),4,AND(L61&gt;=153.61,L61&lt;=190.97),5)</f>
        <v>2</v>
      </c>
      <c r="P61" s="17">
        <f t="shared" si="0"/>
        <v>7</v>
      </c>
      <c r="Q61" s="17" t="str" cm="1">
        <f t="array" ref="Q61">_xlfn.IFS(P61&gt;=14,"Best Customers",AND(P61&gt;=10,P61&lt;14),"Loyal Customers",AND(P61&gt;=7,P61&lt;10),"Potential Customers",AND(P61&gt;=4,P61&lt;7),"Need Attention",P61&lt;4,"At Risk")</f>
        <v>Potential Customers</v>
      </c>
    </row>
    <row r="62" spans="1:17" x14ac:dyDescent="0.35">
      <c r="A62" t="s">
        <v>126</v>
      </c>
      <c r="B62" t="s">
        <v>88</v>
      </c>
      <c r="C62" s="1">
        <v>45676.343007002317</v>
      </c>
      <c r="D62" t="s">
        <v>7</v>
      </c>
      <c r="E62">
        <v>39.409999999999997</v>
      </c>
      <c r="I62" s="17" t="s">
        <v>106</v>
      </c>
      <c r="J62" s="18">
        <v>191.65699074073927</v>
      </c>
      <c r="K62" s="17">
        <v>6</v>
      </c>
      <c r="L62" s="17">
        <v>96.279999999999987</v>
      </c>
      <c r="M62" s="17" cm="1">
        <f t="array" ref="M62">_xlfn.IFS(AND(J62&gt;=65,J62&lt;=141),5,AND(J62&gt;141,J62&lt;=213),4,AND(J62&gt;213,J62&lt;=285),3,AND(J62&gt;285,J62&lt;=357),2,AND(J62&gt;357,J62&lt;=430),1)</f>
        <v>4</v>
      </c>
      <c r="N62" s="17" cm="1">
        <f t="array" ref="N62">_xlfn.IFS(AND(K62&gt;=1,K62&lt;=2),1,AND(K62&gt;=3,K62&lt;=4),2,AND(K62&gt;=5,K62&lt;=6),3,AND(K62&gt;=6,K62&lt;=9),4,AND(K62&gt;=10,K62&lt;=12),5)</f>
        <v>3</v>
      </c>
      <c r="O62" s="17" cm="1">
        <f t="array" ref="O62">_xlfn.IFS(AND(L62&gt;=4.1,L62&lt;=41.49),1,AND(L62&gt;=41.5,L62&lt;=78.86),2,AND(L62&gt;=78.87,L62&lt;=116.23),3,AND(L62&gt;=116.24,L62&lt;=153.6),4,AND(L62&gt;=153.61,L62&lt;=190.97),5)</f>
        <v>3</v>
      </c>
      <c r="P62" s="17">
        <f t="shared" si="0"/>
        <v>10</v>
      </c>
      <c r="Q62" s="17" t="str" cm="1">
        <f t="array" ref="Q62">_xlfn.IFS(P62&gt;=14,"Best Customers",AND(P62&gt;=10,P62&lt;14),"Loyal Customers",AND(P62&gt;=7,P62&lt;10),"Potential Customers",AND(P62&gt;=4,P62&lt;7),"Need Attention",P62&lt;4,"At Risk")</f>
        <v>Loyal Customers</v>
      </c>
    </row>
    <row r="63" spans="1:17" x14ac:dyDescent="0.35">
      <c r="A63" t="s">
        <v>127</v>
      </c>
      <c r="B63" t="s">
        <v>128</v>
      </c>
      <c r="C63" s="1">
        <v>45645.343007002317</v>
      </c>
      <c r="D63" t="s">
        <v>13</v>
      </c>
      <c r="E63">
        <v>11.7</v>
      </c>
      <c r="I63" s="17" t="s">
        <v>497</v>
      </c>
      <c r="J63" s="18">
        <v>87.656990740739275</v>
      </c>
      <c r="K63" s="17">
        <v>3</v>
      </c>
      <c r="L63" s="17">
        <v>49.8</v>
      </c>
      <c r="M63" s="17" cm="1">
        <f t="array" ref="M63">_xlfn.IFS(AND(J63&gt;=65,J63&lt;=141),5,AND(J63&gt;141,J63&lt;=213),4,AND(J63&gt;213,J63&lt;=285),3,AND(J63&gt;285,J63&lt;=357),2,AND(J63&gt;357,J63&lt;=430),1)</f>
        <v>5</v>
      </c>
      <c r="N63" s="17" cm="1">
        <f t="array" ref="N63">_xlfn.IFS(AND(K63&gt;=1,K63&lt;=2),1,AND(K63&gt;=3,K63&lt;=4),2,AND(K63&gt;=5,K63&lt;=6),3,AND(K63&gt;=6,K63&lt;=9),4,AND(K63&gt;=10,K63&lt;=12),5)</f>
        <v>2</v>
      </c>
      <c r="O63" s="17" cm="1">
        <f t="array" ref="O63">_xlfn.IFS(AND(L63&gt;=4.1,L63&lt;=41.49),1,AND(L63&gt;=41.5,L63&lt;=78.86),2,AND(L63&gt;=78.87,L63&lt;=116.23),3,AND(L63&gt;=116.24,L63&lt;=153.6),4,AND(L63&gt;=153.61,L63&lt;=190.97),5)</f>
        <v>2</v>
      </c>
      <c r="P63" s="17">
        <f t="shared" si="0"/>
        <v>9</v>
      </c>
      <c r="Q63" s="17" t="str" cm="1">
        <f t="array" ref="Q63">_xlfn.IFS(P63&gt;=14,"Best Customers",AND(P63&gt;=10,P63&lt;14),"Loyal Customers",AND(P63&gt;=7,P63&lt;10),"Potential Customers",AND(P63&gt;=4,P63&lt;7),"Need Attention",P63&lt;4,"At Risk")</f>
        <v>Potential Customers</v>
      </c>
    </row>
    <row r="64" spans="1:17" x14ac:dyDescent="0.35">
      <c r="A64" t="s">
        <v>129</v>
      </c>
      <c r="B64" t="s">
        <v>130</v>
      </c>
      <c r="C64" s="1">
        <v>45955.343007002317</v>
      </c>
      <c r="D64" t="s">
        <v>10</v>
      </c>
      <c r="E64">
        <v>13.31</v>
      </c>
      <c r="I64" s="17" t="s">
        <v>652</v>
      </c>
      <c r="J64" s="18">
        <v>69.656990740739275</v>
      </c>
      <c r="K64" s="17">
        <v>2</v>
      </c>
      <c r="L64" s="17">
        <v>23.78</v>
      </c>
      <c r="M64" s="17" cm="1">
        <f t="array" ref="M64">_xlfn.IFS(AND(J64&gt;=65,J64&lt;=141),5,AND(J64&gt;141,J64&lt;=213),4,AND(J64&gt;213,J64&lt;=285),3,AND(J64&gt;285,J64&lt;=357),2,AND(J64&gt;357,J64&lt;=430),1)</f>
        <v>5</v>
      </c>
      <c r="N64" s="17" cm="1">
        <f t="array" ref="N64">_xlfn.IFS(AND(K64&gt;=1,K64&lt;=2),1,AND(K64&gt;=3,K64&lt;=4),2,AND(K64&gt;=5,K64&lt;=6),3,AND(K64&gt;=6,K64&lt;=9),4,AND(K64&gt;=10,K64&lt;=12),5)</f>
        <v>1</v>
      </c>
      <c r="O64" s="17" cm="1">
        <f t="array" ref="O64">_xlfn.IFS(AND(L64&gt;=4.1,L64&lt;=41.49),1,AND(L64&gt;=41.5,L64&lt;=78.86),2,AND(L64&gt;=78.87,L64&lt;=116.23),3,AND(L64&gt;=116.24,L64&lt;=153.6),4,AND(L64&gt;=153.61,L64&lt;=190.97),5)</f>
        <v>1</v>
      </c>
      <c r="P64" s="17">
        <f t="shared" si="0"/>
        <v>7</v>
      </c>
      <c r="Q64" s="17" t="str" cm="1">
        <f t="array" ref="Q64">_xlfn.IFS(P64&gt;=14,"Best Customers",AND(P64&gt;=10,P64&lt;14),"Loyal Customers",AND(P64&gt;=7,P64&lt;10),"Potential Customers",AND(P64&gt;=4,P64&lt;7),"Need Attention",P64&lt;4,"At Risk")</f>
        <v>Potential Customers</v>
      </c>
    </row>
    <row r="65" spans="1:17" x14ac:dyDescent="0.35">
      <c r="A65" t="s">
        <v>131</v>
      </c>
      <c r="B65" t="s">
        <v>132</v>
      </c>
      <c r="C65" s="1">
        <v>45597.343007002317</v>
      </c>
      <c r="D65" t="s">
        <v>29</v>
      </c>
      <c r="E65">
        <v>23.97</v>
      </c>
      <c r="I65" s="17" t="s">
        <v>1030</v>
      </c>
      <c r="J65" s="18">
        <v>76.656990740739275</v>
      </c>
      <c r="K65" s="17">
        <v>2</v>
      </c>
      <c r="L65" s="17">
        <v>56.19</v>
      </c>
      <c r="M65" s="17" cm="1">
        <f t="array" ref="M65">_xlfn.IFS(AND(J65&gt;=65,J65&lt;=141),5,AND(J65&gt;141,J65&lt;=213),4,AND(J65&gt;213,J65&lt;=285),3,AND(J65&gt;285,J65&lt;=357),2,AND(J65&gt;357,J65&lt;=430),1)</f>
        <v>5</v>
      </c>
      <c r="N65" s="17" cm="1">
        <f t="array" ref="N65">_xlfn.IFS(AND(K65&gt;=1,K65&lt;=2),1,AND(K65&gt;=3,K65&lt;=4),2,AND(K65&gt;=5,K65&lt;=6),3,AND(K65&gt;=6,K65&lt;=9),4,AND(K65&gt;=10,K65&lt;=12),5)</f>
        <v>1</v>
      </c>
      <c r="O65" s="17" cm="1">
        <f t="array" ref="O65">_xlfn.IFS(AND(L65&gt;=4.1,L65&lt;=41.49),1,AND(L65&gt;=41.5,L65&lt;=78.86),2,AND(L65&gt;=78.87,L65&lt;=116.23),3,AND(L65&gt;=116.24,L65&lt;=153.6),4,AND(L65&gt;=153.61,L65&lt;=190.97),5)</f>
        <v>2</v>
      </c>
      <c r="P65" s="17">
        <f t="shared" si="0"/>
        <v>8</v>
      </c>
      <c r="Q65" s="17" t="str" cm="1">
        <f t="array" ref="Q65">_xlfn.IFS(P65&gt;=14,"Best Customers",AND(P65&gt;=10,P65&lt;14),"Loyal Customers",AND(P65&gt;=7,P65&lt;10),"Potential Customers",AND(P65&gt;=4,P65&lt;7),"Need Attention",P65&lt;4,"At Risk")</f>
        <v>Potential Customers</v>
      </c>
    </row>
    <row r="66" spans="1:17" x14ac:dyDescent="0.35">
      <c r="A66" t="s">
        <v>133</v>
      </c>
      <c r="B66" t="s">
        <v>134</v>
      </c>
      <c r="C66" s="1">
        <v>45649.343007002317</v>
      </c>
      <c r="D66" t="s">
        <v>7</v>
      </c>
      <c r="E66">
        <v>32.71</v>
      </c>
      <c r="I66" s="17" t="s">
        <v>124</v>
      </c>
      <c r="J66" s="18">
        <v>321.65699074073927</v>
      </c>
      <c r="K66" s="17">
        <v>2</v>
      </c>
      <c r="L66" s="17">
        <v>50.21</v>
      </c>
      <c r="M66" s="17" cm="1">
        <f t="array" ref="M66">_xlfn.IFS(AND(J66&gt;=65,J66&lt;=141),5,AND(J66&gt;141,J66&lt;=213),4,AND(J66&gt;213,J66&lt;=285),3,AND(J66&gt;285,J66&lt;=357),2,AND(J66&gt;357,J66&lt;=430),1)</f>
        <v>2</v>
      </c>
      <c r="N66" s="17" cm="1">
        <f t="array" ref="N66">_xlfn.IFS(AND(K66&gt;=1,K66&lt;=2),1,AND(K66&gt;=3,K66&lt;=4),2,AND(K66&gt;=5,K66&lt;=6),3,AND(K66&gt;=6,K66&lt;=9),4,AND(K66&gt;=10,K66&lt;=12),5)</f>
        <v>1</v>
      </c>
      <c r="O66" s="17" cm="1">
        <f t="array" ref="O66">_xlfn.IFS(AND(L66&gt;=4.1,L66&lt;=41.49),1,AND(L66&gt;=41.5,L66&lt;=78.86),2,AND(L66&gt;=78.87,L66&lt;=116.23),3,AND(L66&gt;=116.24,L66&lt;=153.6),4,AND(L66&gt;=153.61,L66&lt;=190.97),5)</f>
        <v>2</v>
      </c>
      <c r="P66" s="17">
        <f t="shared" si="0"/>
        <v>5</v>
      </c>
      <c r="Q66" s="17" t="str" cm="1">
        <f t="array" ref="Q66">_xlfn.IFS(P66&gt;=14,"Best Customers",AND(P66&gt;=10,P66&lt;14),"Loyal Customers",AND(P66&gt;=7,P66&lt;10),"Potential Customers",AND(P66&gt;=4,P66&lt;7),"Need Attention",P66&lt;4,"At Risk")</f>
        <v>Need Attention</v>
      </c>
    </row>
    <row r="67" spans="1:17" x14ac:dyDescent="0.35">
      <c r="A67" t="s">
        <v>135</v>
      </c>
      <c r="B67" t="s">
        <v>136</v>
      </c>
      <c r="C67" s="1">
        <v>45701.343007002317</v>
      </c>
      <c r="D67" t="s">
        <v>13</v>
      </c>
      <c r="E67">
        <v>10.93</v>
      </c>
      <c r="I67" s="17" t="s">
        <v>719</v>
      </c>
      <c r="J67" s="18">
        <v>216.65699074073927</v>
      </c>
      <c r="K67" s="17">
        <v>2</v>
      </c>
      <c r="L67" s="17">
        <v>40.29</v>
      </c>
      <c r="M67" s="17" cm="1">
        <f t="array" ref="M67">_xlfn.IFS(AND(J67&gt;=65,J67&lt;=141),5,AND(J67&gt;141,J67&lt;=213),4,AND(J67&gt;213,J67&lt;=285),3,AND(J67&gt;285,J67&lt;=357),2,AND(J67&gt;357,J67&lt;=430),1)</f>
        <v>3</v>
      </c>
      <c r="N67" s="17" cm="1">
        <f t="array" ref="N67">_xlfn.IFS(AND(K67&gt;=1,K67&lt;=2),1,AND(K67&gt;=3,K67&lt;=4),2,AND(K67&gt;=5,K67&lt;=6),3,AND(K67&gt;=6,K67&lt;=9),4,AND(K67&gt;=10,K67&lt;=12),5)</f>
        <v>1</v>
      </c>
      <c r="O67" s="17" cm="1">
        <f t="array" ref="O67">_xlfn.IFS(AND(L67&gt;=4.1,L67&lt;=41.49),1,AND(L67&gt;=41.5,L67&lt;=78.86),2,AND(L67&gt;=78.87,L67&lt;=116.23),3,AND(L67&gt;=116.24,L67&lt;=153.6),4,AND(L67&gt;=153.61,L67&lt;=190.97),5)</f>
        <v>1</v>
      </c>
      <c r="P67" s="17">
        <f t="shared" si="0"/>
        <v>5</v>
      </c>
      <c r="Q67" s="17" t="str" cm="1">
        <f t="array" ref="Q67">_xlfn.IFS(P67&gt;=14,"Best Customers",AND(P67&gt;=10,P67&lt;14),"Loyal Customers",AND(P67&gt;=7,P67&lt;10),"Potential Customers",AND(P67&gt;=4,P67&lt;7),"Need Attention",P67&lt;4,"At Risk")</f>
        <v>Need Attention</v>
      </c>
    </row>
    <row r="68" spans="1:17" x14ac:dyDescent="0.35">
      <c r="A68" t="s">
        <v>137</v>
      </c>
      <c r="B68" t="s">
        <v>132</v>
      </c>
      <c r="C68" s="1">
        <v>45855.343007002317</v>
      </c>
      <c r="D68" t="s">
        <v>50</v>
      </c>
      <c r="E68">
        <v>5.63</v>
      </c>
      <c r="I68" s="17" t="s">
        <v>45</v>
      </c>
      <c r="J68" s="18">
        <v>125.65699074073927</v>
      </c>
      <c r="K68" s="17">
        <v>5</v>
      </c>
      <c r="L68" s="17">
        <v>56.240000000000009</v>
      </c>
      <c r="M68" s="17" cm="1">
        <f t="array" ref="M68">_xlfn.IFS(AND(J68&gt;=65,J68&lt;=141),5,AND(J68&gt;141,J68&lt;=213),4,AND(J68&gt;213,J68&lt;=285),3,AND(J68&gt;285,J68&lt;=357),2,AND(J68&gt;357,J68&lt;=430),1)</f>
        <v>5</v>
      </c>
      <c r="N68" s="17" cm="1">
        <f t="array" ref="N68">_xlfn.IFS(AND(K68&gt;=1,K68&lt;=2),1,AND(K68&gt;=3,K68&lt;=4),2,AND(K68&gt;=5,K68&lt;=6),3,AND(K68&gt;=6,K68&lt;=9),4,AND(K68&gt;=10,K68&lt;=12),5)</f>
        <v>3</v>
      </c>
      <c r="O68" s="17" cm="1">
        <f t="array" ref="O68">_xlfn.IFS(AND(L68&gt;=4.1,L68&lt;=41.49),1,AND(L68&gt;=41.5,L68&lt;=78.86),2,AND(L68&gt;=78.87,L68&lt;=116.23),3,AND(L68&gt;=116.24,L68&lt;=153.6),4,AND(L68&gt;=153.61,L68&lt;=190.97),5)</f>
        <v>2</v>
      </c>
      <c r="P68" s="17">
        <f t="shared" ref="P68:P131" si="1">SUM(M68:O68)</f>
        <v>10</v>
      </c>
      <c r="Q68" s="17" t="str" cm="1">
        <f t="array" ref="Q68">_xlfn.IFS(P68&gt;=14,"Best Customers",AND(P68&gt;=10,P68&lt;14),"Loyal Customers",AND(P68&gt;=7,P68&lt;10),"Potential Customers",AND(P68&gt;=4,P68&lt;7),"Need Attention",P68&lt;4,"At Risk")</f>
        <v>Loyal Customers</v>
      </c>
    </row>
    <row r="69" spans="1:17" x14ac:dyDescent="0.35">
      <c r="A69" t="s">
        <v>138</v>
      </c>
      <c r="B69" t="s">
        <v>39</v>
      </c>
      <c r="C69" s="1">
        <v>45905.343007002317</v>
      </c>
      <c r="D69" t="s">
        <v>13</v>
      </c>
      <c r="E69">
        <v>10.97</v>
      </c>
      <c r="I69" s="17" t="s">
        <v>1246</v>
      </c>
      <c r="J69" s="18">
        <v>84.656990740739275</v>
      </c>
      <c r="K69" s="17">
        <v>1</v>
      </c>
      <c r="L69" s="17">
        <v>13.79</v>
      </c>
      <c r="M69" s="17" cm="1">
        <f t="array" ref="M69">_xlfn.IFS(AND(J69&gt;=65,J69&lt;=141),5,AND(J69&gt;141,J69&lt;=213),4,AND(J69&gt;213,J69&lt;=285),3,AND(J69&gt;285,J69&lt;=357),2,AND(J69&gt;357,J69&lt;=430),1)</f>
        <v>5</v>
      </c>
      <c r="N69" s="17" cm="1">
        <f t="array" ref="N69">_xlfn.IFS(AND(K69&gt;=1,K69&lt;=2),1,AND(K69&gt;=3,K69&lt;=4),2,AND(K69&gt;=5,K69&lt;=6),3,AND(K69&gt;=6,K69&lt;=9),4,AND(K69&gt;=10,K69&lt;=12),5)</f>
        <v>1</v>
      </c>
      <c r="O69" s="17" cm="1">
        <f t="array" ref="O69">_xlfn.IFS(AND(L69&gt;=4.1,L69&lt;=41.49),1,AND(L69&gt;=41.5,L69&lt;=78.86),2,AND(L69&gt;=78.87,L69&lt;=116.23),3,AND(L69&gt;=116.24,L69&lt;=153.6),4,AND(L69&gt;=153.61,L69&lt;=190.97),5)</f>
        <v>1</v>
      </c>
      <c r="P69" s="17">
        <f t="shared" si="1"/>
        <v>7</v>
      </c>
      <c r="Q69" s="17" t="str" cm="1">
        <f t="array" ref="Q69">_xlfn.IFS(P69&gt;=14,"Best Customers",AND(P69&gt;=10,P69&lt;14),"Loyal Customers",AND(P69&gt;=7,P69&lt;10),"Potential Customers",AND(P69&gt;=4,P69&lt;7),"Need Attention",P69&lt;4,"At Risk")</f>
        <v>Potential Customers</v>
      </c>
    </row>
    <row r="70" spans="1:17" x14ac:dyDescent="0.35">
      <c r="A70" t="s">
        <v>139</v>
      </c>
      <c r="B70" t="s">
        <v>140</v>
      </c>
      <c r="C70" s="1">
        <v>45786.343007002317</v>
      </c>
      <c r="D70" t="s">
        <v>50</v>
      </c>
      <c r="E70">
        <v>5.64</v>
      </c>
      <c r="I70" s="17" t="s">
        <v>682</v>
      </c>
      <c r="J70" s="18">
        <v>261.65699074073927</v>
      </c>
      <c r="K70" s="17">
        <v>5</v>
      </c>
      <c r="L70" s="17">
        <v>41.33</v>
      </c>
      <c r="M70" s="17" cm="1">
        <f t="array" ref="M70">_xlfn.IFS(AND(J70&gt;=65,J70&lt;=141),5,AND(J70&gt;141,J70&lt;=213),4,AND(J70&gt;213,J70&lt;=285),3,AND(J70&gt;285,J70&lt;=357),2,AND(J70&gt;357,J70&lt;=430),1)</f>
        <v>3</v>
      </c>
      <c r="N70" s="17" cm="1">
        <f t="array" ref="N70">_xlfn.IFS(AND(K70&gt;=1,K70&lt;=2),1,AND(K70&gt;=3,K70&lt;=4),2,AND(K70&gt;=5,K70&lt;=6),3,AND(K70&gt;=6,K70&lt;=9),4,AND(K70&gt;=10,K70&lt;=12),5)</f>
        <v>3</v>
      </c>
      <c r="O70" s="17" cm="1">
        <f t="array" ref="O70">_xlfn.IFS(AND(L70&gt;=4.1,L70&lt;=41.49),1,AND(L70&gt;=41.5,L70&lt;=78.86),2,AND(L70&gt;=78.87,L70&lt;=116.23),3,AND(L70&gt;=116.24,L70&lt;=153.6),4,AND(L70&gt;=153.61,L70&lt;=190.97),5)</f>
        <v>1</v>
      </c>
      <c r="P70" s="17">
        <f t="shared" si="1"/>
        <v>7</v>
      </c>
      <c r="Q70" s="17" t="str" cm="1">
        <f t="array" ref="Q70">_xlfn.IFS(P70&gt;=14,"Best Customers",AND(P70&gt;=10,P70&lt;14),"Loyal Customers",AND(P70&gt;=7,P70&lt;10),"Potential Customers",AND(P70&gt;=4,P70&lt;7),"Need Attention",P70&lt;4,"At Risk")</f>
        <v>Potential Customers</v>
      </c>
    </row>
    <row r="71" spans="1:17" x14ac:dyDescent="0.35">
      <c r="A71" t="s">
        <v>141</v>
      </c>
      <c r="B71" t="s">
        <v>134</v>
      </c>
      <c r="C71" s="1">
        <v>45813.343007002317</v>
      </c>
      <c r="D71" t="s">
        <v>7</v>
      </c>
      <c r="E71">
        <v>40.51</v>
      </c>
      <c r="I71" s="17" t="s">
        <v>537</v>
      </c>
      <c r="J71" s="18">
        <v>242.65699074073927</v>
      </c>
      <c r="K71" s="17">
        <v>5</v>
      </c>
      <c r="L71" s="17">
        <v>142.38</v>
      </c>
      <c r="M71" s="17" cm="1">
        <f t="array" ref="M71">_xlfn.IFS(AND(J71&gt;=65,J71&lt;=141),5,AND(J71&gt;141,J71&lt;=213),4,AND(J71&gt;213,J71&lt;=285),3,AND(J71&gt;285,J71&lt;=357),2,AND(J71&gt;357,J71&lt;=430),1)</f>
        <v>3</v>
      </c>
      <c r="N71" s="17" cm="1">
        <f t="array" ref="N71">_xlfn.IFS(AND(K71&gt;=1,K71&lt;=2),1,AND(K71&gt;=3,K71&lt;=4),2,AND(K71&gt;=5,K71&lt;=6),3,AND(K71&gt;=6,K71&lt;=9),4,AND(K71&gt;=10,K71&lt;=12),5)</f>
        <v>3</v>
      </c>
      <c r="O71" s="17" cm="1">
        <f t="array" ref="O71">_xlfn.IFS(AND(L71&gt;=4.1,L71&lt;=41.49),1,AND(L71&gt;=41.5,L71&lt;=78.86),2,AND(L71&gt;=78.87,L71&lt;=116.23),3,AND(L71&gt;=116.24,L71&lt;=153.6),4,AND(L71&gt;=153.61,L71&lt;=190.97),5)</f>
        <v>4</v>
      </c>
      <c r="P71" s="17">
        <f t="shared" si="1"/>
        <v>10</v>
      </c>
      <c r="Q71" s="17" t="str" cm="1">
        <f t="array" ref="Q71">_xlfn.IFS(P71&gt;=14,"Best Customers",AND(P71&gt;=10,P71&lt;14),"Loyal Customers",AND(P71&gt;=7,P71&lt;10),"Potential Customers",AND(P71&gt;=4,P71&lt;7),"Need Attention",P71&lt;4,"At Risk")</f>
        <v>Loyal Customers</v>
      </c>
    </row>
    <row r="72" spans="1:17" x14ac:dyDescent="0.35">
      <c r="A72" t="s">
        <v>142</v>
      </c>
      <c r="B72" t="s">
        <v>143</v>
      </c>
      <c r="C72" s="1">
        <v>45639.343007002317</v>
      </c>
      <c r="D72" t="s">
        <v>50</v>
      </c>
      <c r="E72">
        <v>5.76</v>
      </c>
      <c r="I72" s="17" t="s">
        <v>811</v>
      </c>
      <c r="J72" s="18">
        <v>244.65699074073927</v>
      </c>
      <c r="K72" s="17">
        <v>2</v>
      </c>
      <c r="L72" s="17">
        <v>20.810000000000002</v>
      </c>
      <c r="M72" s="17" cm="1">
        <f t="array" ref="M72">_xlfn.IFS(AND(J72&gt;=65,J72&lt;=141),5,AND(J72&gt;141,J72&lt;=213),4,AND(J72&gt;213,J72&lt;=285),3,AND(J72&gt;285,J72&lt;=357),2,AND(J72&gt;357,J72&lt;=430),1)</f>
        <v>3</v>
      </c>
      <c r="N72" s="17" cm="1">
        <f t="array" ref="N72">_xlfn.IFS(AND(K72&gt;=1,K72&lt;=2),1,AND(K72&gt;=3,K72&lt;=4),2,AND(K72&gt;=5,K72&lt;=6),3,AND(K72&gt;=6,K72&lt;=9),4,AND(K72&gt;=10,K72&lt;=12),5)</f>
        <v>1</v>
      </c>
      <c r="O72" s="17" cm="1">
        <f t="array" ref="O72">_xlfn.IFS(AND(L72&gt;=4.1,L72&lt;=41.49),1,AND(L72&gt;=41.5,L72&lt;=78.86),2,AND(L72&gt;=78.87,L72&lt;=116.23),3,AND(L72&gt;=116.24,L72&lt;=153.6),4,AND(L72&gt;=153.61,L72&lt;=190.97),5)</f>
        <v>1</v>
      </c>
      <c r="P72" s="17">
        <f t="shared" si="1"/>
        <v>5</v>
      </c>
      <c r="Q72" s="17" t="str" cm="1">
        <f t="array" ref="Q72">_xlfn.IFS(P72&gt;=14,"Best Customers",AND(P72&gt;=10,P72&lt;14),"Loyal Customers",AND(P72&gt;=7,P72&lt;10),"Potential Customers",AND(P72&gt;=4,P72&lt;7),"Need Attention",P72&lt;4,"At Risk")</f>
        <v>Need Attention</v>
      </c>
    </row>
    <row r="73" spans="1:17" x14ac:dyDescent="0.35">
      <c r="A73" t="s">
        <v>144</v>
      </c>
      <c r="B73" t="s">
        <v>145</v>
      </c>
      <c r="C73" s="1">
        <v>45757.343007002317</v>
      </c>
      <c r="D73" t="s">
        <v>16</v>
      </c>
      <c r="E73">
        <v>10.3</v>
      </c>
      <c r="I73" s="17" t="s">
        <v>260</v>
      </c>
      <c r="J73" s="18">
        <v>203.65699074073927</v>
      </c>
      <c r="K73" s="17">
        <v>3</v>
      </c>
      <c r="L73" s="17">
        <v>60.87</v>
      </c>
      <c r="M73" s="17" cm="1">
        <f t="array" ref="M73">_xlfn.IFS(AND(J73&gt;=65,J73&lt;=141),5,AND(J73&gt;141,J73&lt;=213),4,AND(J73&gt;213,J73&lt;=285),3,AND(J73&gt;285,J73&lt;=357),2,AND(J73&gt;357,J73&lt;=430),1)</f>
        <v>4</v>
      </c>
      <c r="N73" s="17" cm="1">
        <f t="array" ref="N73">_xlfn.IFS(AND(K73&gt;=1,K73&lt;=2),1,AND(K73&gt;=3,K73&lt;=4),2,AND(K73&gt;=5,K73&lt;=6),3,AND(K73&gt;=6,K73&lt;=9),4,AND(K73&gt;=10,K73&lt;=12),5)</f>
        <v>2</v>
      </c>
      <c r="O73" s="17" cm="1">
        <f t="array" ref="O73">_xlfn.IFS(AND(L73&gt;=4.1,L73&lt;=41.49),1,AND(L73&gt;=41.5,L73&lt;=78.86),2,AND(L73&gt;=78.87,L73&lt;=116.23),3,AND(L73&gt;=116.24,L73&lt;=153.6),4,AND(L73&gt;=153.61,L73&lt;=190.97),5)</f>
        <v>2</v>
      </c>
      <c r="P73" s="17">
        <f t="shared" si="1"/>
        <v>8</v>
      </c>
      <c r="Q73" s="17" t="str" cm="1">
        <f t="array" ref="Q73">_xlfn.IFS(P73&gt;=14,"Best Customers",AND(P73&gt;=10,P73&lt;14),"Loyal Customers",AND(P73&gt;=7,P73&lt;10),"Potential Customers",AND(P73&gt;=4,P73&lt;7),"Need Attention",P73&lt;4,"At Risk")</f>
        <v>Potential Customers</v>
      </c>
    </row>
    <row r="74" spans="1:17" x14ac:dyDescent="0.35">
      <c r="A74" t="s">
        <v>146</v>
      </c>
      <c r="B74" t="s">
        <v>147</v>
      </c>
      <c r="C74" s="1">
        <v>45797.343007002317</v>
      </c>
      <c r="D74" t="s">
        <v>16</v>
      </c>
      <c r="E74">
        <v>8.1199999999999992</v>
      </c>
      <c r="I74" s="17" t="s">
        <v>52</v>
      </c>
      <c r="J74" s="18">
        <v>140.65699074073927</v>
      </c>
      <c r="K74" s="17">
        <v>5</v>
      </c>
      <c r="L74" s="17">
        <v>75.69</v>
      </c>
      <c r="M74" s="17" cm="1">
        <f t="array" ref="M74">_xlfn.IFS(AND(J74&gt;=65,J74&lt;=141),5,AND(J74&gt;141,J74&lt;=213),4,AND(J74&gt;213,J74&lt;=285),3,AND(J74&gt;285,J74&lt;=357),2,AND(J74&gt;357,J74&lt;=430),1)</f>
        <v>5</v>
      </c>
      <c r="N74" s="17" cm="1">
        <f t="array" ref="N74">_xlfn.IFS(AND(K74&gt;=1,K74&lt;=2),1,AND(K74&gt;=3,K74&lt;=4),2,AND(K74&gt;=5,K74&lt;=6),3,AND(K74&gt;=6,K74&lt;=9),4,AND(K74&gt;=10,K74&lt;=12),5)</f>
        <v>3</v>
      </c>
      <c r="O74" s="17" cm="1">
        <f t="array" ref="O74">_xlfn.IFS(AND(L74&gt;=4.1,L74&lt;=41.49),1,AND(L74&gt;=41.5,L74&lt;=78.86),2,AND(L74&gt;=78.87,L74&lt;=116.23),3,AND(L74&gt;=116.24,L74&lt;=153.6),4,AND(L74&gt;=153.61,L74&lt;=190.97),5)</f>
        <v>2</v>
      </c>
      <c r="P74" s="17">
        <f t="shared" si="1"/>
        <v>10</v>
      </c>
      <c r="Q74" s="17" t="str" cm="1">
        <f t="array" ref="Q74">_xlfn.IFS(P74&gt;=14,"Best Customers",AND(P74&gt;=10,P74&lt;14),"Loyal Customers",AND(P74&gt;=7,P74&lt;10),"Potential Customers",AND(P74&gt;=4,P74&lt;7),"Need Attention",P74&lt;4,"At Risk")</f>
        <v>Loyal Customers</v>
      </c>
    </row>
    <row r="75" spans="1:17" x14ac:dyDescent="0.35">
      <c r="A75" t="s">
        <v>148</v>
      </c>
      <c r="B75" t="s">
        <v>15</v>
      </c>
      <c r="C75" s="1">
        <v>45865.343007002317</v>
      </c>
      <c r="D75" t="s">
        <v>16</v>
      </c>
      <c r="E75">
        <v>10.7</v>
      </c>
      <c r="I75" s="17" t="s">
        <v>795</v>
      </c>
      <c r="J75" s="18">
        <v>181.65699074073927</v>
      </c>
      <c r="K75" s="17">
        <v>4</v>
      </c>
      <c r="L75" s="17">
        <v>91.19</v>
      </c>
      <c r="M75" s="17" cm="1">
        <f t="array" ref="M75">_xlfn.IFS(AND(J75&gt;=65,J75&lt;=141),5,AND(J75&gt;141,J75&lt;=213),4,AND(J75&gt;213,J75&lt;=285),3,AND(J75&gt;285,J75&lt;=357),2,AND(J75&gt;357,J75&lt;=430),1)</f>
        <v>4</v>
      </c>
      <c r="N75" s="17" cm="1">
        <f t="array" ref="N75">_xlfn.IFS(AND(K75&gt;=1,K75&lt;=2),1,AND(K75&gt;=3,K75&lt;=4),2,AND(K75&gt;=5,K75&lt;=6),3,AND(K75&gt;=6,K75&lt;=9),4,AND(K75&gt;=10,K75&lt;=12),5)</f>
        <v>2</v>
      </c>
      <c r="O75" s="17" cm="1">
        <f t="array" ref="O75">_xlfn.IFS(AND(L75&gt;=4.1,L75&lt;=41.49),1,AND(L75&gt;=41.5,L75&lt;=78.86),2,AND(L75&gt;=78.87,L75&lt;=116.23),3,AND(L75&gt;=116.24,L75&lt;=153.6),4,AND(L75&gt;=153.61,L75&lt;=190.97),5)</f>
        <v>3</v>
      </c>
      <c r="P75" s="17">
        <f t="shared" si="1"/>
        <v>9</v>
      </c>
      <c r="Q75" s="17" t="str" cm="1">
        <f t="array" ref="Q75">_xlfn.IFS(P75&gt;=14,"Best Customers",AND(P75&gt;=10,P75&lt;14),"Loyal Customers",AND(P75&gt;=7,P75&lt;10),"Potential Customers",AND(P75&gt;=4,P75&lt;7),"Need Attention",P75&lt;4,"At Risk")</f>
        <v>Potential Customers</v>
      </c>
    </row>
    <row r="76" spans="1:17" x14ac:dyDescent="0.35">
      <c r="A76" t="s">
        <v>149</v>
      </c>
      <c r="B76" t="s">
        <v>76</v>
      </c>
      <c r="C76" s="1">
        <v>45946.343007002317</v>
      </c>
      <c r="D76" t="s">
        <v>10</v>
      </c>
      <c r="E76">
        <v>12.27</v>
      </c>
      <c r="I76" s="17" t="s">
        <v>78</v>
      </c>
      <c r="J76" s="18">
        <v>75.656990740739275</v>
      </c>
      <c r="K76" s="17">
        <v>3</v>
      </c>
      <c r="L76" s="17">
        <v>70.13</v>
      </c>
      <c r="M76" s="17" cm="1">
        <f t="array" ref="M76">_xlfn.IFS(AND(J76&gt;=65,J76&lt;=141),5,AND(J76&gt;141,J76&lt;=213),4,AND(J76&gt;213,J76&lt;=285),3,AND(J76&gt;285,J76&lt;=357),2,AND(J76&gt;357,J76&lt;=430),1)</f>
        <v>5</v>
      </c>
      <c r="N76" s="17" cm="1">
        <f t="array" ref="N76">_xlfn.IFS(AND(K76&gt;=1,K76&lt;=2),1,AND(K76&gt;=3,K76&lt;=4),2,AND(K76&gt;=5,K76&lt;=6),3,AND(K76&gt;=6,K76&lt;=9),4,AND(K76&gt;=10,K76&lt;=12),5)</f>
        <v>2</v>
      </c>
      <c r="O76" s="17" cm="1">
        <f t="array" ref="O76">_xlfn.IFS(AND(L76&gt;=4.1,L76&lt;=41.49),1,AND(L76&gt;=41.5,L76&lt;=78.86),2,AND(L76&gt;=78.87,L76&lt;=116.23),3,AND(L76&gt;=116.24,L76&lt;=153.6),4,AND(L76&gt;=153.61,L76&lt;=190.97),5)</f>
        <v>2</v>
      </c>
      <c r="P76" s="17">
        <f t="shared" si="1"/>
        <v>9</v>
      </c>
      <c r="Q76" s="17" t="str" cm="1">
        <f t="array" ref="Q76">_xlfn.IFS(P76&gt;=14,"Best Customers",AND(P76&gt;=10,P76&lt;14),"Loyal Customers",AND(P76&gt;=7,P76&lt;10),"Potential Customers",AND(P76&gt;=4,P76&lt;7),"Need Attention",P76&lt;4,"At Risk")</f>
        <v>Potential Customers</v>
      </c>
    </row>
    <row r="77" spans="1:17" x14ac:dyDescent="0.35">
      <c r="A77" t="s">
        <v>150</v>
      </c>
      <c r="B77" t="s">
        <v>151</v>
      </c>
      <c r="C77" s="1">
        <v>45899.343007002317</v>
      </c>
      <c r="D77" t="s">
        <v>7</v>
      </c>
      <c r="E77">
        <v>39.21</v>
      </c>
      <c r="I77" s="17" t="s">
        <v>846</v>
      </c>
      <c r="J77" s="18">
        <v>92.656990740739275</v>
      </c>
      <c r="K77" s="17">
        <v>2</v>
      </c>
      <c r="L77" s="17">
        <v>38.49</v>
      </c>
      <c r="M77" s="17" cm="1">
        <f t="array" ref="M77">_xlfn.IFS(AND(J77&gt;=65,J77&lt;=141),5,AND(J77&gt;141,J77&lt;=213),4,AND(J77&gt;213,J77&lt;=285),3,AND(J77&gt;285,J77&lt;=357),2,AND(J77&gt;357,J77&lt;=430),1)</f>
        <v>5</v>
      </c>
      <c r="N77" s="17" cm="1">
        <f t="array" ref="N77">_xlfn.IFS(AND(K77&gt;=1,K77&lt;=2),1,AND(K77&gt;=3,K77&lt;=4),2,AND(K77&gt;=5,K77&lt;=6),3,AND(K77&gt;=6,K77&lt;=9),4,AND(K77&gt;=10,K77&lt;=12),5)</f>
        <v>1</v>
      </c>
      <c r="O77" s="17" cm="1">
        <f t="array" ref="O77">_xlfn.IFS(AND(L77&gt;=4.1,L77&lt;=41.49),1,AND(L77&gt;=41.5,L77&lt;=78.86),2,AND(L77&gt;=78.87,L77&lt;=116.23),3,AND(L77&gt;=116.24,L77&lt;=153.6),4,AND(L77&gt;=153.61,L77&lt;=190.97),5)</f>
        <v>1</v>
      </c>
      <c r="P77" s="17">
        <f t="shared" si="1"/>
        <v>7</v>
      </c>
      <c r="Q77" s="17" t="str" cm="1">
        <f t="array" ref="Q77">_xlfn.IFS(P77&gt;=14,"Best Customers",AND(P77&gt;=10,P77&lt;14),"Loyal Customers",AND(P77&gt;=7,P77&lt;10),"Potential Customers",AND(P77&gt;=4,P77&lt;7),"Need Attention",P77&lt;4,"At Risk")</f>
        <v>Potential Customers</v>
      </c>
    </row>
    <row r="78" spans="1:17" x14ac:dyDescent="0.35">
      <c r="A78" t="s">
        <v>152</v>
      </c>
      <c r="B78" t="s">
        <v>153</v>
      </c>
      <c r="C78" s="1">
        <v>45866.343007002317</v>
      </c>
      <c r="D78" t="s">
        <v>13</v>
      </c>
      <c r="E78">
        <v>14.06</v>
      </c>
      <c r="I78" s="17" t="s">
        <v>571</v>
      </c>
      <c r="J78" s="18">
        <v>131.65699074073927</v>
      </c>
      <c r="K78" s="17">
        <v>3</v>
      </c>
      <c r="L78" s="17">
        <v>80.930000000000007</v>
      </c>
      <c r="M78" s="17" cm="1">
        <f t="array" ref="M78">_xlfn.IFS(AND(J78&gt;=65,J78&lt;=141),5,AND(J78&gt;141,J78&lt;=213),4,AND(J78&gt;213,J78&lt;=285),3,AND(J78&gt;285,J78&lt;=357),2,AND(J78&gt;357,J78&lt;=430),1)</f>
        <v>5</v>
      </c>
      <c r="N78" s="17" cm="1">
        <f t="array" ref="N78">_xlfn.IFS(AND(K78&gt;=1,K78&lt;=2),1,AND(K78&gt;=3,K78&lt;=4),2,AND(K78&gt;=5,K78&lt;=6),3,AND(K78&gt;=6,K78&lt;=9),4,AND(K78&gt;=10,K78&lt;=12),5)</f>
        <v>2</v>
      </c>
      <c r="O78" s="17" cm="1">
        <f t="array" ref="O78">_xlfn.IFS(AND(L78&gt;=4.1,L78&lt;=41.49),1,AND(L78&gt;=41.5,L78&lt;=78.86),2,AND(L78&gt;=78.87,L78&lt;=116.23),3,AND(L78&gt;=116.24,L78&lt;=153.6),4,AND(L78&gt;=153.61,L78&lt;=190.97),5)</f>
        <v>3</v>
      </c>
      <c r="P78" s="17">
        <f t="shared" si="1"/>
        <v>10</v>
      </c>
      <c r="Q78" s="17" t="str" cm="1">
        <f t="array" ref="Q78">_xlfn.IFS(P78&gt;=14,"Best Customers",AND(P78&gt;=10,P78&lt;14),"Loyal Customers",AND(P78&gt;=7,P78&lt;10),"Potential Customers",AND(P78&gt;=4,P78&lt;7),"Need Attention",P78&lt;4,"At Risk")</f>
        <v>Loyal Customers</v>
      </c>
    </row>
    <row r="79" spans="1:17" x14ac:dyDescent="0.35">
      <c r="A79" t="s">
        <v>154</v>
      </c>
      <c r="B79" t="s">
        <v>155</v>
      </c>
      <c r="C79" s="1">
        <v>45810.343007002317</v>
      </c>
      <c r="D79" t="s">
        <v>13</v>
      </c>
      <c r="E79">
        <v>10.39</v>
      </c>
      <c r="I79" s="17" t="s">
        <v>424</v>
      </c>
      <c r="J79" s="18">
        <v>286.65699074073927</v>
      </c>
      <c r="K79" s="17">
        <v>3</v>
      </c>
      <c r="L79" s="17">
        <v>52.34</v>
      </c>
      <c r="M79" s="17" cm="1">
        <f t="array" ref="M79">_xlfn.IFS(AND(J79&gt;=65,J79&lt;=141),5,AND(J79&gt;141,J79&lt;=213),4,AND(J79&gt;213,J79&lt;=285),3,AND(J79&gt;285,J79&lt;=357),2,AND(J79&gt;357,J79&lt;=430),1)</f>
        <v>2</v>
      </c>
      <c r="N79" s="17" cm="1">
        <f t="array" ref="N79">_xlfn.IFS(AND(K79&gt;=1,K79&lt;=2),1,AND(K79&gt;=3,K79&lt;=4),2,AND(K79&gt;=5,K79&lt;=6),3,AND(K79&gt;=6,K79&lt;=9),4,AND(K79&gt;=10,K79&lt;=12),5)</f>
        <v>2</v>
      </c>
      <c r="O79" s="17" cm="1">
        <f t="array" ref="O79">_xlfn.IFS(AND(L79&gt;=4.1,L79&lt;=41.49),1,AND(L79&gt;=41.5,L79&lt;=78.86),2,AND(L79&gt;=78.87,L79&lt;=116.23),3,AND(L79&gt;=116.24,L79&lt;=153.6),4,AND(L79&gt;=153.61,L79&lt;=190.97),5)</f>
        <v>2</v>
      </c>
      <c r="P79" s="17">
        <f t="shared" si="1"/>
        <v>6</v>
      </c>
      <c r="Q79" s="17" t="str" cm="1">
        <f t="array" ref="Q79">_xlfn.IFS(P79&gt;=14,"Best Customers",AND(P79&gt;=10,P79&lt;14),"Loyal Customers",AND(P79&gt;=7,P79&lt;10),"Potential Customers",AND(P79&gt;=4,P79&lt;7),"Need Attention",P79&lt;4,"At Risk")</f>
        <v>Need Attention</v>
      </c>
    </row>
    <row r="80" spans="1:17" x14ac:dyDescent="0.35">
      <c r="A80" t="s">
        <v>156</v>
      </c>
      <c r="B80" t="s">
        <v>157</v>
      </c>
      <c r="C80" s="1">
        <v>45847.343007002317</v>
      </c>
      <c r="D80" t="s">
        <v>10</v>
      </c>
      <c r="E80">
        <v>14.34</v>
      </c>
      <c r="I80" s="17" t="s">
        <v>398</v>
      </c>
      <c r="J80" s="18">
        <v>69.656990740739275</v>
      </c>
      <c r="K80" s="17">
        <v>5</v>
      </c>
      <c r="L80" s="17">
        <v>88.89</v>
      </c>
      <c r="M80" s="17" cm="1">
        <f t="array" ref="M80">_xlfn.IFS(AND(J80&gt;=65,J80&lt;=141),5,AND(J80&gt;141,J80&lt;=213),4,AND(J80&gt;213,J80&lt;=285),3,AND(J80&gt;285,J80&lt;=357),2,AND(J80&gt;357,J80&lt;=430),1)</f>
        <v>5</v>
      </c>
      <c r="N80" s="17" cm="1">
        <f t="array" ref="N80">_xlfn.IFS(AND(K80&gt;=1,K80&lt;=2),1,AND(K80&gt;=3,K80&lt;=4),2,AND(K80&gt;=5,K80&lt;=6),3,AND(K80&gt;=6,K80&lt;=9),4,AND(K80&gt;=10,K80&lt;=12),5)</f>
        <v>3</v>
      </c>
      <c r="O80" s="17" cm="1">
        <f t="array" ref="O80">_xlfn.IFS(AND(L80&gt;=4.1,L80&lt;=41.49),1,AND(L80&gt;=41.5,L80&lt;=78.86),2,AND(L80&gt;=78.87,L80&lt;=116.23),3,AND(L80&gt;=116.24,L80&lt;=153.6),4,AND(L80&gt;=153.61,L80&lt;=190.97),5)</f>
        <v>3</v>
      </c>
      <c r="P80" s="17">
        <f t="shared" si="1"/>
        <v>11</v>
      </c>
      <c r="Q80" s="17" t="str" cm="1">
        <f t="array" ref="Q80">_xlfn.IFS(P80&gt;=14,"Best Customers",AND(P80&gt;=10,P80&lt;14),"Loyal Customers",AND(P80&gt;=7,P80&lt;10),"Potential Customers",AND(P80&gt;=4,P80&lt;7),"Need Attention",P80&lt;4,"At Risk")</f>
        <v>Loyal Customers</v>
      </c>
    </row>
    <row r="81" spans="1:17" x14ac:dyDescent="0.35">
      <c r="A81" t="s">
        <v>158</v>
      </c>
      <c r="B81" t="s">
        <v>159</v>
      </c>
      <c r="C81" s="1">
        <v>45785.343007002317</v>
      </c>
      <c r="D81" t="s">
        <v>50</v>
      </c>
      <c r="E81">
        <v>5.46</v>
      </c>
      <c r="I81" s="17" t="s">
        <v>31</v>
      </c>
      <c r="J81" s="18">
        <v>103.65699074073927</v>
      </c>
      <c r="K81" s="17">
        <v>8</v>
      </c>
      <c r="L81" s="17">
        <v>123.51</v>
      </c>
      <c r="M81" s="17" cm="1">
        <f t="array" ref="M81">_xlfn.IFS(AND(J81&gt;=65,J81&lt;=141),5,AND(J81&gt;141,J81&lt;=213),4,AND(J81&gt;213,J81&lt;=285),3,AND(J81&gt;285,J81&lt;=357),2,AND(J81&gt;357,J81&lt;=430),1)</f>
        <v>5</v>
      </c>
      <c r="N81" s="17" cm="1">
        <f t="array" ref="N81">_xlfn.IFS(AND(K81&gt;=1,K81&lt;=2),1,AND(K81&gt;=3,K81&lt;=4),2,AND(K81&gt;=5,K81&lt;=6),3,AND(K81&gt;=6,K81&lt;=9),4,AND(K81&gt;=10,K81&lt;=12),5)</f>
        <v>4</v>
      </c>
      <c r="O81" s="17" cm="1">
        <f t="array" ref="O81">_xlfn.IFS(AND(L81&gt;=4.1,L81&lt;=41.49),1,AND(L81&gt;=41.5,L81&lt;=78.86),2,AND(L81&gt;=78.87,L81&lt;=116.23),3,AND(L81&gt;=116.24,L81&lt;=153.6),4,AND(L81&gt;=153.61,L81&lt;=190.97),5)</f>
        <v>4</v>
      </c>
      <c r="P81" s="17">
        <f t="shared" si="1"/>
        <v>13</v>
      </c>
      <c r="Q81" s="17" t="str" cm="1">
        <f t="array" ref="Q81">_xlfn.IFS(P81&gt;=14,"Best Customers",AND(P81&gt;=10,P81&lt;14),"Loyal Customers",AND(P81&gt;=7,P81&lt;10),"Potential Customers",AND(P81&gt;=4,P81&lt;7),"Need Attention",P81&lt;4,"At Risk")</f>
        <v>Loyal Customers</v>
      </c>
    </row>
    <row r="82" spans="1:17" x14ac:dyDescent="0.35">
      <c r="A82" t="s">
        <v>160</v>
      </c>
      <c r="B82" t="s">
        <v>161</v>
      </c>
      <c r="C82" s="1">
        <v>45891.343007002317</v>
      </c>
      <c r="D82" t="s">
        <v>10</v>
      </c>
      <c r="E82">
        <v>17.29</v>
      </c>
      <c r="I82" s="17" t="s">
        <v>387</v>
      </c>
      <c r="J82" s="18">
        <v>250.65699074073927</v>
      </c>
      <c r="K82" s="17">
        <v>2</v>
      </c>
      <c r="L82" s="17">
        <v>41.95</v>
      </c>
      <c r="M82" s="17" cm="1">
        <f t="array" ref="M82">_xlfn.IFS(AND(J82&gt;=65,J82&lt;=141),5,AND(J82&gt;141,J82&lt;=213),4,AND(J82&gt;213,J82&lt;=285),3,AND(J82&gt;285,J82&lt;=357),2,AND(J82&gt;357,J82&lt;=430),1)</f>
        <v>3</v>
      </c>
      <c r="N82" s="17" cm="1">
        <f t="array" ref="N82">_xlfn.IFS(AND(K82&gt;=1,K82&lt;=2),1,AND(K82&gt;=3,K82&lt;=4),2,AND(K82&gt;=5,K82&lt;=6),3,AND(K82&gt;=6,K82&lt;=9),4,AND(K82&gt;=10,K82&lt;=12),5)</f>
        <v>1</v>
      </c>
      <c r="O82" s="17" cm="1">
        <f t="array" ref="O82">_xlfn.IFS(AND(L82&gt;=4.1,L82&lt;=41.49),1,AND(L82&gt;=41.5,L82&lt;=78.86),2,AND(L82&gt;=78.87,L82&lt;=116.23),3,AND(L82&gt;=116.24,L82&lt;=153.6),4,AND(L82&gt;=153.61,L82&lt;=190.97),5)</f>
        <v>2</v>
      </c>
      <c r="P82" s="17">
        <f t="shared" si="1"/>
        <v>6</v>
      </c>
      <c r="Q82" s="17" t="str" cm="1">
        <f t="array" ref="Q82">_xlfn.IFS(P82&gt;=14,"Best Customers",AND(P82&gt;=10,P82&lt;14),"Loyal Customers",AND(P82&gt;=7,P82&lt;10),"Potential Customers",AND(P82&gt;=4,P82&lt;7),"Need Attention",P82&lt;4,"At Risk")</f>
        <v>Need Attention</v>
      </c>
    </row>
    <row r="83" spans="1:17" x14ac:dyDescent="0.35">
      <c r="A83" t="s">
        <v>162</v>
      </c>
      <c r="B83" t="s">
        <v>163</v>
      </c>
      <c r="C83" s="1">
        <v>45808.343007002317</v>
      </c>
      <c r="D83" t="s">
        <v>50</v>
      </c>
      <c r="E83">
        <v>5.34</v>
      </c>
      <c r="I83" s="17" t="s">
        <v>147</v>
      </c>
      <c r="J83" s="18">
        <v>108.65699074073927</v>
      </c>
      <c r="K83" s="17">
        <v>4</v>
      </c>
      <c r="L83" s="17">
        <v>30.27</v>
      </c>
      <c r="M83" s="17" cm="1">
        <f t="array" ref="M83">_xlfn.IFS(AND(J83&gt;=65,J83&lt;=141),5,AND(J83&gt;141,J83&lt;=213),4,AND(J83&gt;213,J83&lt;=285),3,AND(J83&gt;285,J83&lt;=357),2,AND(J83&gt;357,J83&lt;=430),1)</f>
        <v>5</v>
      </c>
      <c r="N83" s="17" cm="1">
        <f t="array" ref="N83">_xlfn.IFS(AND(K83&gt;=1,K83&lt;=2),1,AND(K83&gt;=3,K83&lt;=4),2,AND(K83&gt;=5,K83&lt;=6),3,AND(K83&gt;=6,K83&lt;=9),4,AND(K83&gt;=10,K83&lt;=12),5)</f>
        <v>2</v>
      </c>
      <c r="O83" s="17" cm="1">
        <f t="array" ref="O83">_xlfn.IFS(AND(L83&gt;=4.1,L83&lt;=41.49),1,AND(L83&gt;=41.5,L83&lt;=78.86),2,AND(L83&gt;=78.87,L83&lt;=116.23),3,AND(L83&gt;=116.24,L83&lt;=153.6),4,AND(L83&gt;=153.61,L83&lt;=190.97),5)</f>
        <v>1</v>
      </c>
      <c r="P83" s="17">
        <f t="shared" si="1"/>
        <v>8</v>
      </c>
      <c r="Q83" s="17" t="str" cm="1">
        <f t="array" ref="Q83">_xlfn.IFS(P83&gt;=14,"Best Customers",AND(P83&gt;=10,P83&lt;14),"Loyal Customers",AND(P83&gt;=7,P83&lt;10),"Potential Customers",AND(P83&gt;=4,P83&lt;7),"Need Attention",P83&lt;4,"At Risk")</f>
        <v>Potential Customers</v>
      </c>
    </row>
    <row r="84" spans="1:17" x14ac:dyDescent="0.35">
      <c r="A84" t="s">
        <v>164</v>
      </c>
      <c r="B84" t="s">
        <v>128</v>
      </c>
      <c r="C84" s="1">
        <v>45803.343007002317</v>
      </c>
      <c r="D84" t="s">
        <v>50</v>
      </c>
      <c r="E84">
        <v>4.5199999999999996</v>
      </c>
      <c r="I84" s="17" t="s">
        <v>344</v>
      </c>
      <c r="J84" s="18">
        <v>214.65699074073927</v>
      </c>
      <c r="K84" s="17">
        <v>4</v>
      </c>
      <c r="L84" s="17">
        <v>57.61</v>
      </c>
      <c r="M84" s="17" cm="1">
        <f t="array" ref="M84">_xlfn.IFS(AND(J84&gt;=65,J84&lt;=141),5,AND(J84&gt;141,J84&lt;=213),4,AND(J84&gt;213,J84&lt;=285),3,AND(J84&gt;285,J84&lt;=357),2,AND(J84&gt;357,J84&lt;=430),1)</f>
        <v>3</v>
      </c>
      <c r="N84" s="17" cm="1">
        <f t="array" ref="N84">_xlfn.IFS(AND(K84&gt;=1,K84&lt;=2),1,AND(K84&gt;=3,K84&lt;=4),2,AND(K84&gt;=5,K84&lt;=6),3,AND(K84&gt;=6,K84&lt;=9),4,AND(K84&gt;=10,K84&lt;=12),5)</f>
        <v>2</v>
      </c>
      <c r="O84" s="17" cm="1">
        <f t="array" ref="O84">_xlfn.IFS(AND(L84&gt;=4.1,L84&lt;=41.49),1,AND(L84&gt;=41.5,L84&lt;=78.86),2,AND(L84&gt;=78.87,L84&lt;=116.23),3,AND(L84&gt;=116.24,L84&lt;=153.6),4,AND(L84&gt;=153.61,L84&lt;=190.97),5)</f>
        <v>2</v>
      </c>
      <c r="P84" s="17">
        <f t="shared" si="1"/>
        <v>7</v>
      </c>
      <c r="Q84" s="17" t="str" cm="1">
        <f t="array" ref="Q84">_xlfn.IFS(P84&gt;=14,"Best Customers",AND(P84&gt;=10,P84&lt;14),"Loyal Customers",AND(P84&gt;=7,P84&lt;10),"Potential Customers",AND(P84&gt;=4,P84&lt;7),"Need Attention",P84&lt;4,"At Risk")</f>
        <v>Potential Customers</v>
      </c>
    </row>
    <row r="85" spans="1:17" x14ac:dyDescent="0.35">
      <c r="A85" t="s">
        <v>165</v>
      </c>
      <c r="B85" t="s">
        <v>132</v>
      </c>
      <c r="C85" s="1">
        <v>45832.343007002317</v>
      </c>
      <c r="D85" t="s">
        <v>29</v>
      </c>
      <c r="E85">
        <v>26.75</v>
      </c>
      <c r="I85" s="17" t="s">
        <v>370</v>
      </c>
      <c r="J85" s="18">
        <v>209.65699074073927</v>
      </c>
      <c r="K85" s="17">
        <v>2</v>
      </c>
      <c r="L85" s="17">
        <v>21.91</v>
      </c>
      <c r="M85" s="17" cm="1">
        <f t="array" ref="M85">_xlfn.IFS(AND(J85&gt;=65,J85&lt;=141),5,AND(J85&gt;141,J85&lt;=213),4,AND(J85&gt;213,J85&lt;=285),3,AND(J85&gt;285,J85&lt;=357),2,AND(J85&gt;357,J85&lt;=430),1)</f>
        <v>4</v>
      </c>
      <c r="N85" s="17" cm="1">
        <f t="array" ref="N85">_xlfn.IFS(AND(K85&gt;=1,K85&lt;=2),1,AND(K85&gt;=3,K85&lt;=4),2,AND(K85&gt;=5,K85&lt;=6),3,AND(K85&gt;=6,K85&lt;=9),4,AND(K85&gt;=10,K85&lt;=12),5)</f>
        <v>1</v>
      </c>
      <c r="O85" s="17" cm="1">
        <f t="array" ref="O85">_xlfn.IFS(AND(L85&gt;=4.1,L85&lt;=41.49),1,AND(L85&gt;=41.5,L85&lt;=78.86),2,AND(L85&gt;=78.87,L85&lt;=116.23),3,AND(L85&gt;=116.24,L85&lt;=153.6),4,AND(L85&gt;=153.61,L85&lt;=190.97),5)</f>
        <v>1</v>
      </c>
      <c r="P85" s="17">
        <f t="shared" si="1"/>
        <v>6</v>
      </c>
      <c r="Q85" s="17" t="str" cm="1">
        <f t="array" ref="Q85">_xlfn.IFS(P85&gt;=14,"Best Customers",AND(P85&gt;=10,P85&lt;14),"Loyal Customers",AND(P85&gt;=7,P85&lt;10),"Potential Customers",AND(P85&gt;=4,P85&lt;7),"Need Attention",P85&lt;4,"At Risk")</f>
        <v>Need Attention</v>
      </c>
    </row>
    <row r="86" spans="1:17" x14ac:dyDescent="0.35">
      <c r="A86" t="s">
        <v>166</v>
      </c>
      <c r="B86" t="s">
        <v>167</v>
      </c>
      <c r="C86" s="1">
        <v>45933.343007002317</v>
      </c>
      <c r="D86" t="s">
        <v>13</v>
      </c>
      <c r="E86">
        <v>11.02</v>
      </c>
      <c r="I86" s="17" t="s">
        <v>84</v>
      </c>
      <c r="J86" s="18">
        <v>142.65699074073927</v>
      </c>
      <c r="K86" s="17">
        <v>6</v>
      </c>
      <c r="L86" s="17">
        <v>60.04</v>
      </c>
      <c r="M86" s="17" cm="1">
        <f t="array" ref="M86">_xlfn.IFS(AND(J86&gt;=65,J86&lt;=141),5,AND(J86&gt;141,J86&lt;=213),4,AND(J86&gt;213,J86&lt;=285),3,AND(J86&gt;285,J86&lt;=357),2,AND(J86&gt;357,J86&lt;=430),1)</f>
        <v>4</v>
      </c>
      <c r="N86" s="17" cm="1">
        <f t="array" ref="N86">_xlfn.IFS(AND(K86&gt;=1,K86&lt;=2),1,AND(K86&gt;=3,K86&lt;=4),2,AND(K86&gt;=5,K86&lt;=6),3,AND(K86&gt;=6,K86&lt;=9),4,AND(K86&gt;=10,K86&lt;=12),5)</f>
        <v>3</v>
      </c>
      <c r="O86" s="17" cm="1">
        <f t="array" ref="O86">_xlfn.IFS(AND(L86&gt;=4.1,L86&lt;=41.49),1,AND(L86&gt;=41.5,L86&lt;=78.86),2,AND(L86&gt;=78.87,L86&lt;=116.23),3,AND(L86&gt;=116.24,L86&lt;=153.6),4,AND(L86&gt;=153.61,L86&lt;=190.97),5)</f>
        <v>2</v>
      </c>
      <c r="P86" s="17">
        <f t="shared" si="1"/>
        <v>9</v>
      </c>
      <c r="Q86" s="17" t="str" cm="1">
        <f t="array" ref="Q86">_xlfn.IFS(P86&gt;=14,"Best Customers",AND(P86&gt;=10,P86&lt;14),"Loyal Customers",AND(P86&gt;=7,P86&lt;10),"Potential Customers",AND(P86&gt;=4,P86&lt;7),"Need Attention",P86&lt;4,"At Risk")</f>
        <v>Potential Customers</v>
      </c>
    </row>
    <row r="87" spans="1:17" x14ac:dyDescent="0.35">
      <c r="A87" t="s">
        <v>168</v>
      </c>
      <c r="B87" t="s">
        <v>18</v>
      </c>
      <c r="C87" s="1">
        <v>45648.343007002317</v>
      </c>
      <c r="D87" t="s">
        <v>16</v>
      </c>
      <c r="E87">
        <v>10.87</v>
      </c>
      <c r="I87" s="17" t="s">
        <v>258</v>
      </c>
      <c r="J87" s="18">
        <v>82.656990740739275</v>
      </c>
      <c r="K87" s="17">
        <v>5</v>
      </c>
      <c r="L87" s="17">
        <v>49.970000000000006</v>
      </c>
      <c r="M87" s="17" cm="1">
        <f t="array" ref="M87">_xlfn.IFS(AND(J87&gt;=65,J87&lt;=141),5,AND(J87&gt;141,J87&lt;=213),4,AND(J87&gt;213,J87&lt;=285),3,AND(J87&gt;285,J87&lt;=357),2,AND(J87&gt;357,J87&lt;=430),1)</f>
        <v>5</v>
      </c>
      <c r="N87" s="17" cm="1">
        <f t="array" ref="N87">_xlfn.IFS(AND(K87&gt;=1,K87&lt;=2),1,AND(K87&gt;=3,K87&lt;=4),2,AND(K87&gt;=5,K87&lt;=6),3,AND(K87&gt;=6,K87&lt;=9),4,AND(K87&gt;=10,K87&lt;=12),5)</f>
        <v>3</v>
      </c>
      <c r="O87" s="17" cm="1">
        <f t="array" ref="O87">_xlfn.IFS(AND(L87&gt;=4.1,L87&lt;=41.49),1,AND(L87&gt;=41.5,L87&lt;=78.86),2,AND(L87&gt;=78.87,L87&lt;=116.23),3,AND(L87&gt;=116.24,L87&lt;=153.6),4,AND(L87&gt;=153.61,L87&lt;=190.97),5)</f>
        <v>2</v>
      </c>
      <c r="P87" s="17">
        <f t="shared" si="1"/>
        <v>10</v>
      </c>
      <c r="Q87" s="17" t="str" cm="1">
        <f t="array" ref="Q87">_xlfn.IFS(P87&gt;=14,"Best Customers",AND(P87&gt;=10,P87&lt;14),"Loyal Customers",AND(P87&gt;=7,P87&lt;10),"Potential Customers",AND(P87&gt;=4,P87&lt;7),"Need Attention",P87&lt;4,"At Risk")</f>
        <v>Loyal Customers</v>
      </c>
    </row>
    <row r="88" spans="1:17" x14ac:dyDescent="0.35">
      <c r="A88" t="s">
        <v>169</v>
      </c>
      <c r="B88" t="s">
        <v>132</v>
      </c>
      <c r="C88" s="1">
        <v>45875.343007002317</v>
      </c>
      <c r="D88" t="s">
        <v>50</v>
      </c>
      <c r="E88">
        <v>5.91</v>
      </c>
      <c r="I88" s="17" t="s">
        <v>219</v>
      </c>
      <c r="J88" s="18">
        <v>214.65699074073927</v>
      </c>
      <c r="K88" s="17">
        <v>5</v>
      </c>
      <c r="L88" s="17">
        <v>113.27000000000001</v>
      </c>
      <c r="M88" s="17" cm="1">
        <f t="array" ref="M88">_xlfn.IFS(AND(J88&gt;=65,J88&lt;=141),5,AND(J88&gt;141,J88&lt;=213),4,AND(J88&gt;213,J88&lt;=285),3,AND(J88&gt;285,J88&lt;=357),2,AND(J88&gt;357,J88&lt;=430),1)</f>
        <v>3</v>
      </c>
      <c r="N88" s="17" cm="1">
        <f t="array" ref="N88">_xlfn.IFS(AND(K88&gt;=1,K88&lt;=2),1,AND(K88&gt;=3,K88&lt;=4),2,AND(K88&gt;=5,K88&lt;=6),3,AND(K88&gt;=6,K88&lt;=9),4,AND(K88&gt;=10,K88&lt;=12),5)</f>
        <v>3</v>
      </c>
      <c r="O88" s="17" cm="1">
        <f t="array" ref="O88">_xlfn.IFS(AND(L88&gt;=4.1,L88&lt;=41.49),1,AND(L88&gt;=41.5,L88&lt;=78.86),2,AND(L88&gt;=78.87,L88&lt;=116.23),3,AND(L88&gt;=116.24,L88&lt;=153.6),4,AND(L88&gt;=153.61,L88&lt;=190.97),5)</f>
        <v>3</v>
      </c>
      <c r="P88" s="17">
        <f t="shared" si="1"/>
        <v>9</v>
      </c>
      <c r="Q88" s="17" t="str" cm="1">
        <f t="array" ref="Q88">_xlfn.IFS(P88&gt;=14,"Best Customers",AND(P88&gt;=10,P88&lt;14),"Loyal Customers",AND(P88&gt;=7,P88&lt;10),"Potential Customers",AND(P88&gt;=4,P88&lt;7),"Need Attention",P88&lt;4,"At Risk")</f>
        <v>Potential Customers</v>
      </c>
    </row>
    <row r="89" spans="1:17" x14ac:dyDescent="0.35">
      <c r="A89" t="s">
        <v>170</v>
      </c>
      <c r="B89" t="s">
        <v>171</v>
      </c>
      <c r="C89" s="1">
        <v>45812.343007002317</v>
      </c>
      <c r="D89" t="s">
        <v>29</v>
      </c>
      <c r="E89">
        <v>27.21</v>
      </c>
      <c r="I89" s="17" t="s">
        <v>891</v>
      </c>
      <c r="J89" s="18">
        <v>69.656990740739275</v>
      </c>
      <c r="K89" s="17">
        <v>4</v>
      </c>
      <c r="L89" s="17">
        <v>64.37</v>
      </c>
      <c r="M89" s="17" cm="1">
        <f t="array" ref="M89">_xlfn.IFS(AND(J89&gt;=65,J89&lt;=141),5,AND(J89&gt;141,J89&lt;=213),4,AND(J89&gt;213,J89&lt;=285),3,AND(J89&gt;285,J89&lt;=357),2,AND(J89&gt;357,J89&lt;=430),1)</f>
        <v>5</v>
      </c>
      <c r="N89" s="17" cm="1">
        <f t="array" ref="N89">_xlfn.IFS(AND(K89&gt;=1,K89&lt;=2),1,AND(K89&gt;=3,K89&lt;=4),2,AND(K89&gt;=5,K89&lt;=6),3,AND(K89&gt;=6,K89&lt;=9),4,AND(K89&gt;=10,K89&lt;=12),5)</f>
        <v>2</v>
      </c>
      <c r="O89" s="17" cm="1">
        <f t="array" ref="O89">_xlfn.IFS(AND(L89&gt;=4.1,L89&lt;=41.49),1,AND(L89&gt;=41.5,L89&lt;=78.86),2,AND(L89&gt;=78.87,L89&lt;=116.23),3,AND(L89&gt;=116.24,L89&lt;=153.6),4,AND(L89&gt;=153.61,L89&lt;=190.97),5)</f>
        <v>2</v>
      </c>
      <c r="P89" s="17">
        <f t="shared" si="1"/>
        <v>9</v>
      </c>
      <c r="Q89" s="17" t="str" cm="1">
        <f t="array" ref="Q89">_xlfn.IFS(P89&gt;=14,"Best Customers",AND(P89&gt;=10,P89&lt;14),"Loyal Customers",AND(P89&gt;=7,P89&lt;10),"Potential Customers",AND(P89&gt;=4,P89&lt;7),"Need Attention",P89&lt;4,"At Risk")</f>
        <v>Potential Customers</v>
      </c>
    </row>
    <row r="90" spans="1:17" x14ac:dyDescent="0.35">
      <c r="A90" t="s">
        <v>172</v>
      </c>
      <c r="B90" t="s">
        <v>173</v>
      </c>
      <c r="C90" s="1">
        <v>45847.343007002317</v>
      </c>
      <c r="D90" t="s">
        <v>13</v>
      </c>
      <c r="E90">
        <v>13.74</v>
      </c>
      <c r="I90" s="17" t="s">
        <v>41</v>
      </c>
      <c r="J90" s="18">
        <v>303.65699074073927</v>
      </c>
      <c r="K90" s="17">
        <v>1</v>
      </c>
      <c r="L90" s="17">
        <v>11.82</v>
      </c>
      <c r="M90" s="17" cm="1">
        <f t="array" ref="M90">_xlfn.IFS(AND(J90&gt;=65,J90&lt;=141),5,AND(J90&gt;141,J90&lt;=213),4,AND(J90&gt;213,J90&lt;=285),3,AND(J90&gt;285,J90&lt;=357),2,AND(J90&gt;357,J90&lt;=430),1)</f>
        <v>2</v>
      </c>
      <c r="N90" s="17" cm="1">
        <f t="array" ref="N90">_xlfn.IFS(AND(K90&gt;=1,K90&lt;=2),1,AND(K90&gt;=3,K90&lt;=4),2,AND(K90&gt;=5,K90&lt;=6),3,AND(K90&gt;=6,K90&lt;=9),4,AND(K90&gt;=10,K90&lt;=12),5)</f>
        <v>1</v>
      </c>
      <c r="O90" s="17" cm="1">
        <f t="array" ref="O90">_xlfn.IFS(AND(L90&gt;=4.1,L90&lt;=41.49),1,AND(L90&gt;=41.5,L90&lt;=78.86),2,AND(L90&gt;=78.87,L90&lt;=116.23),3,AND(L90&gt;=116.24,L90&lt;=153.6),4,AND(L90&gt;=153.61,L90&lt;=190.97),5)</f>
        <v>1</v>
      </c>
      <c r="P90" s="17">
        <f t="shared" si="1"/>
        <v>4</v>
      </c>
      <c r="Q90" s="17" t="str" cm="1">
        <f t="array" ref="Q90">_xlfn.IFS(P90&gt;=14,"Best Customers",AND(P90&gt;=10,P90&lt;14),"Loyal Customers",AND(P90&gt;=7,P90&lt;10),"Potential Customers",AND(P90&gt;=4,P90&lt;7),"Need Attention",P90&lt;4,"At Risk")</f>
        <v>Need Attention</v>
      </c>
    </row>
    <row r="91" spans="1:17" x14ac:dyDescent="0.35">
      <c r="A91" t="s">
        <v>174</v>
      </c>
      <c r="B91" t="s">
        <v>28</v>
      </c>
      <c r="C91" s="1">
        <v>45783.343007002317</v>
      </c>
      <c r="D91" t="s">
        <v>16</v>
      </c>
      <c r="E91">
        <v>8.01</v>
      </c>
      <c r="I91" s="17" t="s">
        <v>43</v>
      </c>
      <c r="J91" s="18">
        <v>117.65699074073927</v>
      </c>
      <c r="K91" s="17">
        <v>3</v>
      </c>
      <c r="L91" s="17">
        <v>31.41</v>
      </c>
      <c r="M91" s="17" cm="1">
        <f t="array" ref="M91">_xlfn.IFS(AND(J91&gt;=65,J91&lt;=141),5,AND(J91&gt;141,J91&lt;=213),4,AND(J91&gt;213,J91&lt;=285),3,AND(J91&gt;285,J91&lt;=357),2,AND(J91&gt;357,J91&lt;=430),1)</f>
        <v>5</v>
      </c>
      <c r="N91" s="17" cm="1">
        <f t="array" ref="N91">_xlfn.IFS(AND(K91&gt;=1,K91&lt;=2),1,AND(K91&gt;=3,K91&lt;=4),2,AND(K91&gt;=5,K91&lt;=6),3,AND(K91&gt;=6,K91&lt;=9),4,AND(K91&gt;=10,K91&lt;=12),5)</f>
        <v>2</v>
      </c>
      <c r="O91" s="17" cm="1">
        <f t="array" ref="O91">_xlfn.IFS(AND(L91&gt;=4.1,L91&lt;=41.49),1,AND(L91&gt;=41.5,L91&lt;=78.86),2,AND(L91&gt;=78.87,L91&lt;=116.23),3,AND(L91&gt;=116.24,L91&lt;=153.6),4,AND(L91&gt;=153.61,L91&lt;=190.97),5)</f>
        <v>1</v>
      </c>
      <c r="P91" s="17">
        <f t="shared" si="1"/>
        <v>8</v>
      </c>
      <c r="Q91" s="17" t="str" cm="1">
        <f t="array" ref="Q91">_xlfn.IFS(P91&gt;=14,"Best Customers",AND(P91&gt;=10,P91&lt;14),"Loyal Customers",AND(P91&gt;=7,P91&lt;10),"Potential Customers",AND(P91&gt;=4,P91&lt;7),"Need Attention",P91&lt;4,"At Risk")</f>
        <v>Potential Customers</v>
      </c>
    </row>
    <row r="92" spans="1:17" x14ac:dyDescent="0.35">
      <c r="A92" t="s">
        <v>175</v>
      </c>
      <c r="B92" t="s">
        <v>43</v>
      </c>
      <c r="C92" s="1">
        <v>45636.343007002317</v>
      </c>
      <c r="D92" t="s">
        <v>50</v>
      </c>
      <c r="E92">
        <v>5.44</v>
      </c>
      <c r="I92" s="17" t="s">
        <v>368</v>
      </c>
      <c r="J92" s="18">
        <v>123.65699074073927</v>
      </c>
      <c r="K92" s="17">
        <v>3</v>
      </c>
      <c r="L92" s="17">
        <v>95.009999999999991</v>
      </c>
      <c r="M92" s="17" cm="1">
        <f t="array" ref="M92">_xlfn.IFS(AND(J92&gt;=65,J92&lt;=141),5,AND(J92&gt;141,J92&lt;=213),4,AND(J92&gt;213,J92&lt;=285),3,AND(J92&gt;285,J92&lt;=357),2,AND(J92&gt;357,J92&lt;=430),1)</f>
        <v>5</v>
      </c>
      <c r="N92" s="17" cm="1">
        <f t="array" ref="N92">_xlfn.IFS(AND(K92&gt;=1,K92&lt;=2),1,AND(K92&gt;=3,K92&lt;=4),2,AND(K92&gt;=5,K92&lt;=6),3,AND(K92&gt;=6,K92&lt;=9),4,AND(K92&gt;=10,K92&lt;=12),5)</f>
        <v>2</v>
      </c>
      <c r="O92" s="17" cm="1">
        <f t="array" ref="O92">_xlfn.IFS(AND(L92&gt;=4.1,L92&lt;=41.49),1,AND(L92&gt;=41.5,L92&lt;=78.86),2,AND(L92&gt;=78.87,L92&lt;=116.23),3,AND(L92&gt;=116.24,L92&lt;=153.6),4,AND(L92&gt;=153.61,L92&lt;=190.97),5)</f>
        <v>3</v>
      </c>
      <c r="P92" s="17">
        <f t="shared" si="1"/>
        <v>10</v>
      </c>
      <c r="Q92" s="17" t="str" cm="1">
        <f t="array" ref="Q92">_xlfn.IFS(P92&gt;=14,"Best Customers",AND(P92&gt;=10,P92&lt;14),"Loyal Customers",AND(P92&gt;=7,P92&lt;10),"Potential Customers",AND(P92&gt;=4,P92&lt;7),"Need Attention",P92&lt;4,"At Risk")</f>
        <v>Loyal Customers</v>
      </c>
    </row>
    <row r="93" spans="1:17" x14ac:dyDescent="0.35">
      <c r="A93" t="s">
        <v>176</v>
      </c>
      <c r="B93" t="s">
        <v>177</v>
      </c>
      <c r="C93" s="1">
        <v>45752.343007002317</v>
      </c>
      <c r="D93" t="s">
        <v>50</v>
      </c>
      <c r="E93">
        <v>5.66</v>
      </c>
      <c r="I93" s="17" t="s">
        <v>140</v>
      </c>
      <c r="J93" s="18">
        <v>243.65699074073927</v>
      </c>
      <c r="K93" s="17">
        <v>2</v>
      </c>
      <c r="L93" s="17">
        <v>32.729999999999997</v>
      </c>
      <c r="M93" s="17" cm="1">
        <f t="array" ref="M93">_xlfn.IFS(AND(J93&gt;=65,J93&lt;=141),5,AND(J93&gt;141,J93&lt;=213),4,AND(J93&gt;213,J93&lt;=285),3,AND(J93&gt;285,J93&lt;=357),2,AND(J93&gt;357,J93&lt;=430),1)</f>
        <v>3</v>
      </c>
      <c r="N93" s="17" cm="1">
        <f t="array" ref="N93">_xlfn.IFS(AND(K93&gt;=1,K93&lt;=2),1,AND(K93&gt;=3,K93&lt;=4),2,AND(K93&gt;=5,K93&lt;=6),3,AND(K93&gt;=6,K93&lt;=9),4,AND(K93&gt;=10,K93&lt;=12),5)</f>
        <v>1</v>
      </c>
      <c r="O93" s="17" cm="1">
        <f t="array" ref="O93">_xlfn.IFS(AND(L93&gt;=4.1,L93&lt;=41.49),1,AND(L93&gt;=41.5,L93&lt;=78.86),2,AND(L93&gt;=78.87,L93&lt;=116.23),3,AND(L93&gt;=116.24,L93&lt;=153.6),4,AND(L93&gt;=153.61,L93&lt;=190.97),5)</f>
        <v>1</v>
      </c>
      <c r="P93" s="17">
        <f t="shared" si="1"/>
        <v>5</v>
      </c>
      <c r="Q93" s="17" t="str" cm="1">
        <f t="array" ref="Q93">_xlfn.IFS(P93&gt;=14,"Best Customers",AND(P93&gt;=10,P93&lt;14),"Loyal Customers",AND(P93&gt;=7,P93&lt;10),"Potential Customers",AND(P93&gt;=4,P93&lt;7),"Need Attention",P93&lt;4,"At Risk")</f>
        <v>Need Attention</v>
      </c>
    </row>
    <row r="94" spans="1:17" x14ac:dyDescent="0.35">
      <c r="A94" t="s">
        <v>178</v>
      </c>
      <c r="B94" t="s">
        <v>179</v>
      </c>
      <c r="C94" s="1">
        <v>45610.343007002317</v>
      </c>
      <c r="D94" t="s">
        <v>10</v>
      </c>
      <c r="E94">
        <v>12.24</v>
      </c>
      <c r="I94" s="17" t="s">
        <v>460</v>
      </c>
      <c r="J94" s="18">
        <v>69.656990740739275</v>
      </c>
      <c r="K94" s="17">
        <v>6</v>
      </c>
      <c r="L94" s="17">
        <v>122.55000000000001</v>
      </c>
      <c r="M94" s="17" cm="1">
        <f t="array" ref="M94">_xlfn.IFS(AND(J94&gt;=65,J94&lt;=141),5,AND(J94&gt;141,J94&lt;=213),4,AND(J94&gt;213,J94&lt;=285),3,AND(J94&gt;285,J94&lt;=357),2,AND(J94&gt;357,J94&lt;=430),1)</f>
        <v>5</v>
      </c>
      <c r="N94" s="17" cm="1">
        <f t="array" ref="N94">_xlfn.IFS(AND(K94&gt;=1,K94&lt;=2),1,AND(K94&gt;=3,K94&lt;=4),2,AND(K94&gt;=5,K94&lt;=6),3,AND(K94&gt;=6,K94&lt;=9),4,AND(K94&gt;=10,K94&lt;=12),5)</f>
        <v>3</v>
      </c>
      <c r="O94" s="17" cm="1">
        <f t="array" ref="O94">_xlfn.IFS(AND(L94&gt;=4.1,L94&lt;=41.49),1,AND(L94&gt;=41.5,L94&lt;=78.86),2,AND(L94&gt;=78.87,L94&lt;=116.23),3,AND(L94&gt;=116.24,L94&lt;=153.6),4,AND(L94&gt;=153.61,L94&lt;=190.97),5)</f>
        <v>4</v>
      </c>
      <c r="P94" s="17">
        <f t="shared" si="1"/>
        <v>12</v>
      </c>
      <c r="Q94" s="17" t="str" cm="1">
        <f t="array" ref="Q94">_xlfn.IFS(P94&gt;=14,"Best Customers",AND(P94&gt;=10,P94&lt;14),"Loyal Customers",AND(P94&gt;=7,P94&lt;10),"Potential Customers",AND(P94&gt;=4,P94&lt;7),"Need Attention",P94&lt;4,"At Risk")</f>
        <v>Loyal Customers</v>
      </c>
    </row>
    <row r="95" spans="1:17" x14ac:dyDescent="0.35">
      <c r="A95" t="s">
        <v>180</v>
      </c>
      <c r="B95" t="s">
        <v>181</v>
      </c>
      <c r="C95" s="1">
        <v>45896.343007002317</v>
      </c>
      <c r="D95" t="s">
        <v>10</v>
      </c>
      <c r="E95">
        <v>17.23</v>
      </c>
      <c r="I95" s="17" t="s">
        <v>703</v>
      </c>
      <c r="J95" s="18">
        <v>85.656990740739275</v>
      </c>
      <c r="K95" s="17">
        <v>2</v>
      </c>
      <c r="L95" s="17">
        <v>58.25</v>
      </c>
      <c r="M95" s="17" cm="1">
        <f t="array" ref="M95">_xlfn.IFS(AND(J95&gt;=65,J95&lt;=141),5,AND(J95&gt;141,J95&lt;=213),4,AND(J95&gt;213,J95&lt;=285),3,AND(J95&gt;285,J95&lt;=357),2,AND(J95&gt;357,J95&lt;=430),1)</f>
        <v>5</v>
      </c>
      <c r="N95" s="17" cm="1">
        <f t="array" ref="N95">_xlfn.IFS(AND(K95&gt;=1,K95&lt;=2),1,AND(K95&gt;=3,K95&lt;=4),2,AND(K95&gt;=5,K95&lt;=6),3,AND(K95&gt;=6,K95&lt;=9),4,AND(K95&gt;=10,K95&lt;=12),5)</f>
        <v>1</v>
      </c>
      <c r="O95" s="17" cm="1">
        <f t="array" ref="O95">_xlfn.IFS(AND(L95&gt;=4.1,L95&lt;=41.49),1,AND(L95&gt;=41.5,L95&lt;=78.86),2,AND(L95&gt;=78.87,L95&lt;=116.23),3,AND(L95&gt;=116.24,L95&lt;=153.6),4,AND(L95&gt;=153.61,L95&lt;=190.97),5)</f>
        <v>2</v>
      </c>
      <c r="P95" s="17">
        <f t="shared" si="1"/>
        <v>8</v>
      </c>
      <c r="Q95" s="17" t="str" cm="1">
        <f t="array" ref="Q95">_xlfn.IFS(P95&gt;=14,"Best Customers",AND(P95&gt;=10,P95&lt;14),"Loyal Customers",AND(P95&gt;=7,P95&lt;10),"Potential Customers",AND(P95&gt;=4,P95&lt;7),"Need Attention",P95&lt;4,"At Risk")</f>
        <v>Potential Customers</v>
      </c>
    </row>
    <row r="96" spans="1:17" x14ac:dyDescent="0.35">
      <c r="A96" t="s">
        <v>182</v>
      </c>
      <c r="B96" t="s">
        <v>183</v>
      </c>
      <c r="C96" s="1">
        <v>45660.343007002317</v>
      </c>
      <c r="D96" t="s">
        <v>13</v>
      </c>
      <c r="E96">
        <v>10.83</v>
      </c>
      <c r="I96" s="17" t="s">
        <v>1047</v>
      </c>
      <c r="J96" s="18">
        <v>301.65699074073927</v>
      </c>
      <c r="K96" s="17">
        <v>2</v>
      </c>
      <c r="L96" s="17">
        <v>18.39</v>
      </c>
      <c r="M96" s="17" cm="1">
        <f t="array" ref="M96">_xlfn.IFS(AND(J96&gt;=65,J96&lt;=141),5,AND(J96&gt;141,J96&lt;=213),4,AND(J96&gt;213,J96&lt;=285),3,AND(J96&gt;285,J96&lt;=357),2,AND(J96&gt;357,J96&lt;=430),1)</f>
        <v>2</v>
      </c>
      <c r="N96" s="17" cm="1">
        <f t="array" ref="N96">_xlfn.IFS(AND(K96&gt;=1,K96&lt;=2),1,AND(K96&gt;=3,K96&lt;=4),2,AND(K96&gt;=5,K96&lt;=6),3,AND(K96&gt;=6,K96&lt;=9),4,AND(K96&gt;=10,K96&lt;=12),5)</f>
        <v>1</v>
      </c>
      <c r="O96" s="17" cm="1">
        <f t="array" ref="O96">_xlfn.IFS(AND(L96&gt;=4.1,L96&lt;=41.49),1,AND(L96&gt;=41.5,L96&lt;=78.86),2,AND(L96&gt;=78.87,L96&lt;=116.23),3,AND(L96&gt;=116.24,L96&lt;=153.6),4,AND(L96&gt;=153.61,L96&lt;=190.97),5)</f>
        <v>1</v>
      </c>
      <c r="P96" s="17">
        <f t="shared" si="1"/>
        <v>4</v>
      </c>
      <c r="Q96" s="17" t="str" cm="1">
        <f t="array" ref="Q96">_xlfn.IFS(P96&gt;=14,"Best Customers",AND(P96&gt;=10,P96&lt;14),"Loyal Customers",AND(P96&gt;=7,P96&lt;10),"Potential Customers",AND(P96&gt;=4,P96&lt;7),"Need Attention",P96&lt;4,"At Risk")</f>
        <v>Need Attention</v>
      </c>
    </row>
    <row r="97" spans="1:17" x14ac:dyDescent="0.35">
      <c r="A97" t="s">
        <v>184</v>
      </c>
      <c r="B97" t="s">
        <v>185</v>
      </c>
      <c r="C97" s="1">
        <v>45940.343007002317</v>
      </c>
      <c r="D97" t="s">
        <v>16</v>
      </c>
      <c r="E97">
        <v>10.66</v>
      </c>
      <c r="I97" s="17" t="s">
        <v>33</v>
      </c>
      <c r="J97" s="18">
        <v>243.65699074073927</v>
      </c>
      <c r="K97" s="17">
        <v>3</v>
      </c>
      <c r="L97" s="17">
        <v>70.75</v>
      </c>
      <c r="M97" s="17" cm="1">
        <f t="array" ref="M97">_xlfn.IFS(AND(J97&gt;=65,J97&lt;=141),5,AND(J97&gt;141,J97&lt;=213),4,AND(J97&gt;213,J97&lt;=285),3,AND(J97&gt;285,J97&lt;=357),2,AND(J97&gt;357,J97&lt;=430),1)</f>
        <v>3</v>
      </c>
      <c r="N97" s="17" cm="1">
        <f t="array" ref="N97">_xlfn.IFS(AND(K97&gt;=1,K97&lt;=2),1,AND(K97&gt;=3,K97&lt;=4),2,AND(K97&gt;=5,K97&lt;=6),3,AND(K97&gt;=6,K97&lt;=9),4,AND(K97&gt;=10,K97&lt;=12),5)</f>
        <v>2</v>
      </c>
      <c r="O97" s="17" cm="1">
        <f t="array" ref="O97">_xlfn.IFS(AND(L97&gt;=4.1,L97&lt;=41.49),1,AND(L97&gt;=41.5,L97&lt;=78.86),2,AND(L97&gt;=78.87,L97&lt;=116.23),3,AND(L97&gt;=116.24,L97&lt;=153.6),4,AND(L97&gt;=153.61,L97&lt;=190.97),5)</f>
        <v>2</v>
      </c>
      <c r="P97" s="17">
        <f t="shared" si="1"/>
        <v>7</v>
      </c>
      <c r="Q97" s="17" t="str" cm="1">
        <f t="array" ref="Q97">_xlfn.IFS(P97&gt;=14,"Best Customers",AND(P97&gt;=10,P97&lt;14),"Loyal Customers",AND(P97&gt;=7,P97&lt;10),"Potential Customers",AND(P97&gt;=4,P97&lt;7),"Need Attention",P97&lt;4,"At Risk")</f>
        <v>Potential Customers</v>
      </c>
    </row>
    <row r="98" spans="1:17" x14ac:dyDescent="0.35">
      <c r="A98" t="s">
        <v>186</v>
      </c>
      <c r="B98" t="s">
        <v>187</v>
      </c>
      <c r="C98" s="1">
        <v>45922.343007002317</v>
      </c>
      <c r="D98" t="s">
        <v>50</v>
      </c>
      <c r="E98">
        <v>5.6</v>
      </c>
      <c r="I98" s="17" t="s">
        <v>558</v>
      </c>
      <c r="J98" s="18">
        <v>71.656990740739275</v>
      </c>
      <c r="K98" s="17">
        <v>5</v>
      </c>
      <c r="L98" s="17">
        <v>108.92</v>
      </c>
      <c r="M98" s="17" cm="1">
        <f t="array" ref="M98">_xlfn.IFS(AND(J98&gt;=65,J98&lt;=141),5,AND(J98&gt;141,J98&lt;=213),4,AND(J98&gt;213,J98&lt;=285),3,AND(J98&gt;285,J98&lt;=357),2,AND(J98&gt;357,J98&lt;=430),1)</f>
        <v>5</v>
      </c>
      <c r="N98" s="17" cm="1">
        <f t="array" ref="N98">_xlfn.IFS(AND(K98&gt;=1,K98&lt;=2),1,AND(K98&gt;=3,K98&lt;=4),2,AND(K98&gt;=5,K98&lt;=6),3,AND(K98&gt;=6,K98&lt;=9),4,AND(K98&gt;=10,K98&lt;=12),5)</f>
        <v>3</v>
      </c>
      <c r="O98" s="17" cm="1">
        <f t="array" ref="O98">_xlfn.IFS(AND(L98&gt;=4.1,L98&lt;=41.49),1,AND(L98&gt;=41.5,L98&lt;=78.86),2,AND(L98&gt;=78.87,L98&lt;=116.23),3,AND(L98&gt;=116.24,L98&lt;=153.6),4,AND(L98&gt;=153.61,L98&lt;=190.97),5)</f>
        <v>3</v>
      </c>
      <c r="P98" s="17">
        <f t="shared" si="1"/>
        <v>11</v>
      </c>
      <c r="Q98" s="17" t="str" cm="1">
        <f t="array" ref="Q98">_xlfn.IFS(P98&gt;=14,"Best Customers",AND(P98&gt;=10,P98&lt;14),"Loyal Customers",AND(P98&gt;=7,P98&lt;10),"Potential Customers",AND(P98&gt;=4,P98&lt;7),"Need Attention",P98&lt;4,"At Risk")</f>
        <v>Loyal Customers</v>
      </c>
    </row>
    <row r="99" spans="1:17" x14ac:dyDescent="0.35">
      <c r="A99" t="s">
        <v>188</v>
      </c>
      <c r="B99" t="s">
        <v>45</v>
      </c>
      <c r="C99" s="1">
        <v>45604.343007002317</v>
      </c>
      <c r="D99" t="s">
        <v>13</v>
      </c>
      <c r="E99">
        <v>12.78</v>
      </c>
      <c r="I99" s="17" t="s">
        <v>606</v>
      </c>
      <c r="J99" s="18">
        <v>398.65699074073927</v>
      </c>
      <c r="K99" s="17">
        <v>2</v>
      </c>
      <c r="L99" s="17">
        <v>22.2</v>
      </c>
      <c r="M99" s="17" cm="1">
        <f t="array" ref="M99">_xlfn.IFS(AND(J99&gt;=65,J99&lt;=141),5,AND(J99&gt;141,J99&lt;=213),4,AND(J99&gt;213,J99&lt;=285),3,AND(J99&gt;285,J99&lt;=357),2,AND(J99&gt;357,J99&lt;=430),1)</f>
        <v>1</v>
      </c>
      <c r="N99" s="17" cm="1">
        <f t="array" ref="N99">_xlfn.IFS(AND(K99&gt;=1,K99&lt;=2),1,AND(K99&gt;=3,K99&lt;=4),2,AND(K99&gt;=5,K99&lt;=6),3,AND(K99&gt;=6,K99&lt;=9),4,AND(K99&gt;=10,K99&lt;=12),5)</f>
        <v>1</v>
      </c>
      <c r="O99" s="17" cm="1">
        <f t="array" ref="O99">_xlfn.IFS(AND(L99&gt;=4.1,L99&lt;=41.49),1,AND(L99&gt;=41.5,L99&lt;=78.86),2,AND(L99&gt;=78.87,L99&lt;=116.23),3,AND(L99&gt;=116.24,L99&lt;=153.6),4,AND(L99&gt;=153.61,L99&lt;=190.97),5)</f>
        <v>1</v>
      </c>
      <c r="P99" s="17">
        <f t="shared" si="1"/>
        <v>3</v>
      </c>
      <c r="Q99" s="17" t="str" cm="1">
        <f t="array" ref="Q99">_xlfn.IFS(P99&gt;=14,"Best Customers",AND(P99&gt;=10,P99&lt;14),"Loyal Customers",AND(P99&gt;=7,P99&lt;10),"Potential Customers",AND(P99&gt;=4,P99&lt;7),"Need Attention",P99&lt;4,"At Risk")</f>
        <v>At Risk</v>
      </c>
    </row>
    <row r="100" spans="1:17" x14ac:dyDescent="0.35">
      <c r="A100" t="s">
        <v>189</v>
      </c>
      <c r="B100" t="s">
        <v>190</v>
      </c>
      <c r="C100" s="1">
        <v>45939.343007002317</v>
      </c>
      <c r="D100" t="s">
        <v>13</v>
      </c>
      <c r="E100">
        <v>10.039999999999999</v>
      </c>
      <c r="I100" s="17" t="s">
        <v>94</v>
      </c>
      <c r="J100" s="18">
        <v>88.656990740739275</v>
      </c>
      <c r="K100" s="17">
        <v>6</v>
      </c>
      <c r="L100" s="17">
        <v>164.74</v>
      </c>
      <c r="M100" s="17" cm="1">
        <f t="array" ref="M100">_xlfn.IFS(AND(J100&gt;=65,J100&lt;=141),5,AND(J100&gt;141,J100&lt;=213),4,AND(J100&gt;213,J100&lt;=285),3,AND(J100&gt;285,J100&lt;=357),2,AND(J100&gt;357,J100&lt;=430),1)</f>
        <v>5</v>
      </c>
      <c r="N100" s="17" cm="1">
        <f t="array" ref="N100">_xlfn.IFS(AND(K100&gt;=1,K100&lt;=2),1,AND(K100&gt;=3,K100&lt;=4),2,AND(K100&gt;=5,K100&lt;=6),3,AND(K100&gt;=6,K100&lt;=9),4,AND(K100&gt;=10,K100&lt;=12),5)</f>
        <v>3</v>
      </c>
      <c r="O100" s="17" cm="1">
        <f t="array" ref="O100">_xlfn.IFS(AND(L100&gt;=4.1,L100&lt;=41.49),1,AND(L100&gt;=41.5,L100&lt;=78.86),2,AND(L100&gt;=78.87,L100&lt;=116.23),3,AND(L100&gt;=116.24,L100&lt;=153.6),4,AND(L100&gt;=153.61,L100&lt;=190.97),5)</f>
        <v>5</v>
      </c>
      <c r="P100" s="17">
        <f t="shared" si="1"/>
        <v>13</v>
      </c>
      <c r="Q100" s="17" t="str" cm="1">
        <f t="array" ref="Q100">_xlfn.IFS(P100&gt;=14,"Best Customers",AND(P100&gt;=10,P100&lt;14),"Loyal Customers",AND(P100&gt;=7,P100&lt;10),"Potential Customers",AND(P100&gt;=4,P100&lt;7),"Need Attention",P100&lt;4,"At Risk")</f>
        <v>Loyal Customers</v>
      </c>
    </row>
    <row r="101" spans="1:17" x14ac:dyDescent="0.35">
      <c r="A101" t="s">
        <v>191</v>
      </c>
      <c r="B101" t="s">
        <v>192</v>
      </c>
      <c r="C101" s="1">
        <v>45724.343007002317</v>
      </c>
      <c r="D101" t="s">
        <v>7</v>
      </c>
      <c r="E101">
        <v>41.54</v>
      </c>
      <c r="I101" s="17" t="s">
        <v>723</v>
      </c>
      <c r="J101" s="18">
        <v>334.65699074073927</v>
      </c>
      <c r="K101" s="17">
        <v>2</v>
      </c>
      <c r="L101" s="17">
        <v>19.489999999999998</v>
      </c>
      <c r="M101" s="17" cm="1">
        <f t="array" ref="M101">_xlfn.IFS(AND(J101&gt;=65,J101&lt;=141),5,AND(J101&gt;141,J101&lt;=213),4,AND(J101&gt;213,J101&lt;=285),3,AND(J101&gt;285,J101&lt;=357),2,AND(J101&gt;357,J101&lt;=430),1)</f>
        <v>2</v>
      </c>
      <c r="N101" s="17" cm="1">
        <f t="array" ref="N101">_xlfn.IFS(AND(K101&gt;=1,K101&lt;=2),1,AND(K101&gt;=3,K101&lt;=4),2,AND(K101&gt;=5,K101&lt;=6),3,AND(K101&gt;=6,K101&lt;=9),4,AND(K101&gt;=10,K101&lt;=12),5)</f>
        <v>1</v>
      </c>
      <c r="O101" s="17" cm="1">
        <f t="array" ref="O101">_xlfn.IFS(AND(L101&gt;=4.1,L101&lt;=41.49),1,AND(L101&gt;=41.5,L101&lt;=78.86),2,AND(L101&gt;=78.87,L101&lt;=116.23),3,AND(L101&gt;=116.24,L101&lt;=153.6),4,AND(L101&gt;=153.61,L101&lt;=190.97),5)</f>
        <v>1</v>
      </c>
      <c r="P101" s="17">
        <f t="shared" si="1"/>
        <v>4</v>
      </c>
      <c r="Q101" s="17" t="str" cm="1">
        <f t="array" ref="Q101">_xlfn.IFS(P101&gt;=14,"Best Customers",AND(P101&gt;=10,P101&lt;14),"Loyal Customers",AND(P101&gt;=7,P101&lt;10),"Potential Customers",AND(P101&gt;=4,P101&lt;7),"Need Attention",P101&lt;4,"At Risk")</f>
        <v>Need Attention</v>
      </c>
    </row>
    <row r="102" spans="1:17" x14ac:dyDescent="0.35">
      <c r="A102" t="s">
        <v>193</v>
      </c>
      <c r="B102" t="s">
        <v>143</v>
      </c>
      <c r="C102" s="1">
        <v>45731.343007002317</v>
      </c>
      <c r="D102" t="s">
        <v>10</v>
      </c>
      <c r="E102">
        <v>15.3</v>
      </c>
      <c r="I102" s="17" t="s">
        <v>217</v>
      </c>
      <c r="J102" s="18">
        <v>104.65699074073927</v>
      </c>
      <c r="K102" s="17">
        <v>3</v>
      </c>
      <c r="L102" s="17">
        <v>91.44</v>
      </c>
      <c r="M102" s="17" cm="1">
        <f t="array" ref="M102">_xlfn.IFS(AND(J102&gt;=65,J102&lt;=141),5,AND(J102&gt;141,J102&lt;=213),4,AND(J102&gt;213,J102&lt;=285),3,AND(J102&gt;285,J102&lt;=357),2,AND(J102&gt;357,J102&lt;=430),1)</f>
        <v>5</v>
      </c>
      <c r="N102" s="17" cm="1">
        <f t="array" ref="N102">_xlfn.IFS(AND(K102&gt;=1,K102&lt;=2),1,AND(K102&gt;=3,K102&lt;=4),2,AND(K102&gt;=5,K102&lt;=6),3,AND(K102&gt;=6,K102&lt;=9),4,AND(K102&gt;=10,K102&lt;=12),5)</f>
        <v>2</v>
      </c>
      <c r="O102" s="17" cm="1">
        <f t="array" ref="O102">_xlfn.IFS(AND(L102&gt;=4.1,L102&lt;=41.49),1,AND(L102&gt;=41.5,L102&lt;=78.86),2,AND(L102&gt;=78.87,L102&lt;=116.23),3,AND(L102&gt;=116.24,L102&lt;=153.6),4,AND(L102&gt;=153.61,L102&lt;=190.97),5)</f>
        <v>3</v>
      </c>
      <c r="P102" s="17">
        <f t="shared" si="1"/>
        <v>10</v>
      </c>
      <c r="Q102" s="17" t="str" cm="1">
        <f t="array" ref="Q102">_xlfn.IFS(P102&gt;=14,"Best Customers",AND(P102&gt;=10,P102&lt;14),"Loyal Customers",AND(P102&gt;=7,P102&lt;10),"Potential Customers",AND(P102&gt;=4,P102&lt;7),"Need Attention",P102&lt;4,"At Risk")</f>
        <v>Loyal Customers</v>
      </c>
    </row>
    <row r="103" spans="1:17" x14ac:dyDescent="0.35">
      <c r="A103" t="s">
        <v>194</v>
      </c>
      <c r="B103" t="s">
        <v>39</v>
      </c>
      <c r="C103" s="1">
        <v>45658.343007002317</v>
      </c>
      <c r="D103" t="s">
        <v>16</v>
      </c>
      <c r="E103">
        <v>11.6</v>
      </c>
      <c r="I103" s="17" t="s">
        <v>687</v>
      </c>
      <c r="J103" s="18">
        <v>195.65699074073927</v>
      </c>
      <c r="K103" s="17">
        <v>3</v>
      </c>
      <c r="L103" s="17">
        <v>29.130000000000003</v>
      </c>
      <c r="M103" s="17" cm="1">
        <f t="array" ref="M103">_xlfn.IFS(AND(J103&gt;=65,J103&lt;=141),5,AND(J103&gt;141,J103&lt;=213),4,AND(J103&gt;213,J103&lt;=285),3,AND(J103&gt;285,J103&lt;=357),2,AND(J103&gt;357,J103&lt;=430),1)</f>
        <v>4</v>
      </c>
      <c r="N103" s="17" cm="1">
        <f t="array" ref="N103">_xlfn.IFS(AND(K103&gt;=1,K103&lt;=2),1,AND(K103&gt;=3,K103&lt;=4),2,AND(K103&gt;=5,K103&lt;=6),3,AND(K103&gt;=6,K103&lt;=9),4,AND(K103&gt;=10,K103&lt;=12),5)</f>
        <v>2</v>
      </c>
      <c r="O103" s="17" cm="1">
        <f t="array" ref="O103">_xlfn.IFS(AND(L103&gt;=4.1,L103&lt;=41.49),1,AND(L103&gt;=41.5,L103&lt;=78.86),2,AND(L103&gt;=78.87,L103&lt;=116.23),3,AND(L103&gt;=116.24,L103&lt;=153.6),4,AND(L103&gt;=153.61,L103&lt;=190.97),5)</f>
        <v>1</v>
      </c>
      <c r="P103" s="17">
        <f t="shared" si="1"/>
        <v>7</v>
      </c>
      <c r="Q103" s="17" t="str" cm="1">
        <f t="array" ref="Q103">_xlfn.IFS(P103&gt;=14,"Best Customers",AND(P103&gt;=10,P103&lt;14),"Loyal Customers",AND(P103&gt;=7,P103&lt;10),"Potential Customers",AND(P103&gt;=4,P103&lt;7),"Need Attention",P103&lt;4,"At Risk")</f>
        <v>Potential Customers</v>
      </c>
    </row>
    <row r="104" spans="1:17" x14ac:dyDescent="0.35">
      <c r="A104" t="s">
        <v>195</v>
      </c>
      <c r="B104" t="s">
        <v>122</v>
      </c>
      <c r="C104" s="1">
        <v>45734.343007002317</v>
      </c>
      <c r="D104" t="s">
        <v>50</v>
      </c>
      <c r="E104">
        <v>4.8099999999999996</v>
      </c>
      <c r="I104" s="17" t="s">
        <v>555</v>
      </c>
      <c r="J104" s="18">
        <v>149.65699074073927</v>
      </c>
      <c r="K104" s="17">
        <v>6</v>
      </c>
      <c r="L104" s="17">
        <v>72.05</v>
      </c>
      <c r="M104" s="17" cm="1">
        <f t="array" ref="M104">_xlfn.IFS(AND(J104&gt;=65,J104&lt;=141),5,AND(J104&gt;141,J104&lt;=213),4,AND(J104&gt;213,J104&lt;=285),3,AND(J104&gt;285,J104&lt;=357),2,AND(J104&gt;357,J104&lt;=430),1)</f>
        <v>4</v>
      </c>
      <c r="N104" s="17" cm="1">
        <f t="array" ref="N104">_xlfn.IFS(AND(K104&gt;=1,K104&lt;=2),1,AND(K104&gt;=3,K104&lt;=4),2,AND(K104&gt;=5,K104&lt;=6),3,AND(K104&gt;=6,K104&lt;=9),4,AND(K104&gt;=10,K104&lt;=12),5)</f>
        <v>3</v>
      </c>
      <c r="O104" s="17" cm="1">
        <f t="array" ref="O104">_xlfn.IFS(AND(L104&gt;=4.1,L104&lt;=41.49),1,AND(L104&gt;=41.5,L104&lt;=78.86),2,AND(L104&gt;=78.87,L104&lt;=116.23),3,AND(L104&gt;=116.24,L104&lt;=153.6),4,AND(L104&gt;=153.61,L104&lt;=190.97),5)</f>
        <v>2</v>
      </c>
      <c r="P104" s="17">
        <f t="shared" si="1"/>
        <v>9</v>
      </c>
      <c r="Q104" s="17" t="str" cm="1">
        <f t="array" ref="Q104">_xlfn.IFS(P104&gt;=14,"Best Customers",AND(P104&gt;=10,P104&lt;14),"Loyal Customers",AND(P104&gt;=7,P104&lt;10),"Potential Customers",AND(P104&gt;=4,P104&lt;7),"Need Attention",P104&lt;4,"At Risk")</f>
        <v>Potential Customers</v>
      </c>
    </row>
    <row r="105" spans="1:17" x14ac:dyDescent="0.35">
      <c r="A105" t="s">
        <v>196</v>
      </c>
      <c r="B105" t="s">
        <v>197</v>
      </c>
      <c r="C105" s="1">
        <v>45676.343007002317</v>
      </c>
      <c r="D105" t="s">
        <v>13</v>
      </c>
      <c r="E105">
        <v>11.14</v>
      </c>
      <c r="I105" s="17" t="s">
        <v>458</v>
      </c>
      <c r="J105" s="18">
        <v>397.65699074073927</v>
      </c>
      <c r="K105" s="17">
        <v>1</v>
      </c>
      <c r="L105" s="17">
        <v>8.01</v>
      </c>
      <c r="M105" s="17" cm="1">
        <f t="array" ref="M105">_xlfn.IFS(AND(J105&gt;=65,J105&lt;=141),5,AND(J105&gt;141,J105&lt;=213),4,AND(J105&gt;213,J105&lt;=285),3,AND(J105&gt;285,J105&lt;=357),2,AND(J105&gt;357,J105&lt;=430),1)</f>
        <v>1</v>
      </c>
      <c r="N105" s="17" cm="1">
        <f t="array" ref="N105">_xlfn.IFS(AND(K105&gt;=1,K105&lt;=2),1,AND(K105&gt;=3,K105&lt;=4),2,AND(K105&gt;=5,K105&lt;=6),3,AND(K105&gt;=6,K105&lt;=9),4,AND(K105&gt;=10,K105&lt;=12),5)</f>
        <v>1</v>
      </c>
      <c r="O105" s="17" cm="1">
        <f t="array" ref="O105">_xlfn.IFS(AND(L105&gt;=4.1,L105&lt;=41.49),1,AND(L105&gt;=41.5,L105&lt;=78.86),2,AND(L105&gt;=78.87,L105&lt;=116.23),3,AND(L105&gt;=116.24,L105&lt;=153.6),4,AND(L105&gt;=153.61,L105&lt;=190.97),5)</f>
        <v>1</v>
      </c>
      <c r="P105" s="17">
        <f t="shared" si="1"/>
        <v>3</v>
      </c>
      <c r="Q105" s="17" t="str" cm="1">
        <f t="array" ref="Q105">_xlfn.IFS(P105&gt;=14,"Best Customers",AND(P105&gt;=10,P105&lt;14),"Loyal Customers",AND(P105&gt;=7,P105&lt;10),"Potential Customers",AND(P105&gt;=4,P105&lt;7),"Need Attention",P105&lt;4,"At Risk")</f>
        <v>At Risk</v>
      </c>
    </row>
    <row r="106" spans="1:17" x14ac:dyDescent="0.35">
      <c r="A106" t="s">
        <v>198</v>
      </c>
      <c r="B106" t="s">
        <v>104</v>
      </c>
      <c r="C106" s="1">
        <v>45758.343007002317</v>
      </c>
      <c r="D106" t="s">
        <v>50</v>
      </c>
      <c r="E106">
        <v>5.5</v>
      </c>
      <c r="I106" s="17" t="s">
        <v>236</v>
      </c>
      <c r="J106" s="18">
        <v>160.65699074073927</v>
      </c>
      <c r="K106" s="17">
        <v>2</v>
      </c>
      <c r="L106" s="17">
        <v>52.1</v>
      </c>
      <c r="M106" s="17" cm="1">
        <f t="array" ref="M106">_xlfn.IFS(AND(J106&gt;=65,J106&lt;=141),5,AND(J106&gt;141,J106&lt;=213),4,AND(J106&gt;213,J106&lt;=285),3,AND(J106&gt;285,J106&lt;=357),2,AND(J106&gt;357,J106&lt;=430),1)</f>
        <v>4</v>
      </c>
      <c r="N106" s="17" cm="1">
        <f t="array" ref="N106">_xlfn.IFS(AND(K106&gt;=1,K106&lt;=2),1,AND(K106&gt;=3,K106&lt;=4),2,AND(K106&gt;=5,K106&lt;=6),3,AND(K106&gt;=6,K106&lt;=9),4,AND(K106&gt;=10,K106&lt;=12),5)</f>
        <v>1</v>
      </c>
      <c r="O106" s="17" cm="1">
        <f t="array" ref="O106">_xlfn.IFS(AND(L106&gt;=4.1,L106&lt;=41.49),1,AND(L106&gt;=41.5,L106&lt;=78.86),2,AND(L106&gt;=78.87,L106&lt;=116.23),3,AND(L106&gt;=116.24,L106&lt;=153.6),4,AND(L106&gt;=153.61,L106&lt;=190.97),5)</f>
        <v>2</v>
      </c>
      <c r="P106" s="17">
        <f t="shared" si="1"/>
        <v>7</v>
      </c>
      <c r="Q106" s="17" t="str" cm="1">
        <f t="array" ref="Q106">_xlfn.IFS(P106&gt;=14,"Best Customers",AND(P106&gt;=10,P106&lt;14),"Loyal Customers",AND(P106&gt;=7,P106&lt;10),"Potential Customers",AND(P106&gt;=4,P106&lt;7),"Need Attention",P106&lt;4,"At Risk")</f>
        <v>Potential Customers</v>
      </c>
    </row>
    <row r="107" spans="1:17" x14ac:dyDescent="0.35">
      <c r="A107" t="s">
        <v>199</v>
      </c>
      <c r="B107" t="s">
        <v>200</v>
      </c>
      <c r="C107" s="1">
        <v>45884.343007002317</v>
      </c>
      <c r="D107" t="s">
        <v>7</v>
      </c>
      <c r="E107">
        <v>38.6</v>
      </c>
      <c r="I107" s="17" t="s">
        <v>130</v>
      </c>
      <c r="J107" s="18">
        <v>74.656990740739275</v>
      </c>
      <c r="K107" s="17">
        <v>5</v>
      </c>
      <c r="L107" s="17">
        <v>108.17999999999999</v>
      </c>
      <c r="M107" s="17" cm="1">
        <f t="array" ref="M107">_xlfn.IFS(AND(J107&gt;=65,J107&lt;=141),5,AND(J107&gt;141,J107&lt;=213),4,AND(J107&gt;213,J107&lt;=285),3,AND(J107&gt;285,J107&lt;=357),2,AND(J107&gt;357,J107&lt;=430),1)</f>
        <v>5</v>
      </c>
      <c r="N107" s="17" cm="1">
        <f t="array" ref="N107">_xlfn.IFS(AND(K107&gt;=1,K107&lt;=2),1,AND(K107&gt;=3,K107&lt;=4),2,AND(K107&gt;=5,K107&lt;=6),3,AND(K107&gt;=6,K107&lt;=9),4,AND(K107&gt;=10,K107&lt;=12),5)</f>
        <v>3</v>
      </c>
      <c r="O107" s="17" cm="1">
        <f t="array" ref="O107">_xlfn.IFS(AND(L107&gt;=4.1,L107&lt;=41.49),1,AND(L107&gt;=41.5,L107&lt;=78.86),2,AND(L107&gt;=78.87,L107&lt;=116.23),3,AND(L107&gt;=116.24,L107&lt;=153.6),4,AND(L107&gt;=153.61,L107&lt;=190.97),5)</f>
        <v>3</v>
      </c>
      <c r="P107" s="17">
        <f t="shared" si="1"/>
        <v>11</v>
      </c>
      <c r="Q107" s="17" t="str" cm="1">
        <f t="array" ref="Q107">_xlfn.IFS(P107&gt;=14,"Best Customers",AND(P107&gt;=10,P107&lt;14),"Loyal Customers",AND(P107&gt;=7,P107&lt;10),"Potential Customers",AND(P107&gt;=4,P107&lt;7),"Need Attention",P107&lt;4,"At Risk")</f>
        <v>Loyal Customers</v>
      </c>
    </row>
    <row r="108" spans="1:17" x14ac:dyDescent="0.35">
      <c r="A108" t="s">
        <v>201</v>
      </c>
      <c r="B108" t="s">
        <v>202</v>
      </c>
      <c r="C108" s="1">
        <v>45856.343007002317</v>
      </c>
      <c r="D108" t="s">
        <v>16</v>
      </c>
      <c r="E108">
        <v>10.58</v>
      </c>
      <c r="I108" s="17" t="s">
        <v>391</v>
      </c>
      <c r="J108" s="18">
        <v>179.65699074073927</v>
      </c>
      <c r="K108" s="17">
        <v>1</v>
      </c>
      <c r="L108" s="17">
        <v>11.81</v>
      </c>
      <c r="M108" s="17" cm="1">
        <f t="array" ref="M108">_xlfn.IFS(AND(J108&gt;=65,J108&lt;=141),5,AND(J108&gt;141,J108&lt;=213),4,AND(J108&gt;213,J108&lt;=285),3,AND(J108&gt;285,J108&lt;=357),2,AND(J108&gt;357,J108&lt;=430),1)</f>
        <v>4</v>
      </c>
      <c r="N108" s="17" cm="1">
        <f t="array" ref="N108">_xlfn.IFS(AND(K108&gt;=1,K108&lt;=2),1,AND(K108&gt;=3,K108&lt;=4),2,AND(K108&gt;=5,K108&lt;=6),3,AND(K108&gt;=6,K108&lt;=9),4,AND(K108&gt;=10,K108&lt;=12),5)</f>
        <v>1</v>
      </c>
      <c r="O108" s="17" cm="1">
        <f t="array" ref="O108">_xlfn.IFS(AND(L108&gt;=4.1,L108&lt;=41.49),1,AND(L108&gt;=41.5,L108&lt;=78.86),2,AND(L108&gt;=78.87,L108&lt;=116.23),3,AND(L108&gt;=116.24,L108&lt;=153.6),4,AND(L108&gt;=153.61,L108&lt;=190.97),5)</f>
        <v>1</v>
      </c>
      <c r="P108" s="17">
        <f t="shared" si="1"/>
        <v>6</v>
      </c>
      <c r="Q108" s="17" t="str" cm="1">
        <f t="array" ref="Q108">_xlfn.IFS(P108&gt;=14,"Best Customers",AND(P108&gt;=10,P108&lt;14),"Loyal Customers",AND(P108&gt;=7,P108&lt;10),"Potential Customers",AND(P108&gt;=4,P108&lt;7),"Need Attention",P108&lt;4,"At Risk")</f>
        <v>Need Attention</v>
      </c>
    </row>
    <row r="109" spans="1:17" x14ac:dyDescent="0.35">
      <c r="A109" t="s">
        <v>203</v>
      </c>
      <c r="B109" t="s">
        <v>94</v>
      </c>
      <c r="C109" s="1">
        <v>45826.343007002317</v>
      </c>
      <c r="D109" t="s">
        <v>13</v>
      </c>
      <c r="E109">
        <v>12.7</v>
      </c>
      <c r="I109" s="17" t="s">
        <v>325</v>
      </c>
      <c r="J109" s="18">
        <v>116.65699074073927</v>
      </c>
      <c r="K109" s="17">
        <v>3</v>
      </c>
      <c r="L109" s="17">
        <v>36.65</v>
      </c>
      <c r="M109" s="17" cm="1">
        <f t="array" ref="M109">_xlfn.IFS(AND(J109&gt;=65,J109&lt;=141),5,AND(J109&gt;141,J109&lt;=213),4,AND(J109&gt;213,J109&lt;=285),3,AND(J109&gt;285,J109&lt;=357),2,AND(J109&gt;357,J109&lt;=430),1)</f>
        <v>5</v>
      </c>
      <c r="N109" s="17" cm="1">
        <f t="array" ref="N109">_xlfn.IFS(AND(K109&gt;=1,K109&lt;=2),1,AND(K109&gt;=3,K109&lt;=4),2,AND(K109&gt;=5,K109&lt;=6),3,AND(K109&gt;=6,K109&lt;=9),4,AND(K109&gt;=10,K109&lt;=12),5)</f>
        <v>2</v>
      </c>
      <c r="O109" s="17" cm="1">
        <f t="array" ref="O109">_xlfn.IFS(AND(L109&gt;=4.1,L109&lt;=41.49),1,AND(L109&gt;=41.5,L109&lt;=78.86),2,AND(L109&gt;=78.87,L109&lt;=116.23),3,AND(L109&gt;=116.24,L109&lt;=153.6),4,AND(L109&gt;=153.61,L109&lt;=190.97),5)</f>
        <v>1</v>
      </c>
      <c r="P109" s="17">
        <f t="shared" si="1"/>
        <v>8</v>
      </c>
      <c r="Q109" s="17" t="str" cm="1">
        <f t="array" ref="Q109">_xlfn.IFS(P109&gt;=14,"Best Customers",AND(P109&gt;=10,P109&lt;14),"Loyal Customers",AND(P109&gt;=7,P109&lt;10),"Potential Customers",AND(P109&gt;=4,P109&lt;7),"Need Attention",P109&lt;4,"At Risk")</f>
        <v>Potential Customers</v>
      </c>
    </row>
    <row r="110" spans="1:17" x14ac:dyDescent="0.35">
      <c r="A110" t="s">
        <v>204</v>
      </c>
      <c r="B110" t="s">
        <v>205</v>
      </c>
      <c r="C110" s="1">
        <v>45636.343007002317</v>
      </c>
      <c r="D110" t="s">
        <v>50</v>
      </c>
      <c r="E110">
        <v>5.78</v>
      </c>
      <c r="I110" s="17" t="s">
        <v>327</v>
      </c>
      <c r="J110" s="18">
        <v>154.65699074073927</v>
      </c>
      <c r="K110" s="17">
        <v>3</v>
      </c>
      <c r="L110" s="17">
        <v>57.95</v>
      </c>
      <c r="M110" s="17" cm="1">
        <f t="array" ref="M110">_xlfn.IFS(AND(J110&gt;=65,J110&lt;=141),5,AND(J110&gt;141,J110&lt;=213),4,AND(J110&gt;213,J110&lt;=285),3,AND(J110&gt;285,J110&lt;=357),2,AND(J110&gt;357,J110&lt;=430),1)</f>
        <v>4</v>
      </c>
      <c r="N110" s="17" cm="1">
        <f t="array" ref="N110">_xlfn.IFS(AND(K110&gt;=1,K110&lt;=2),1,AND(K110&gt;=3,K110&lt;=4),2,AND(K110&gt;=5,K110&lt;=6),3,AND(K110&gt;=6,K110&lt;=9),4,AND(K110&gt;=10,K110&lt;=12),5)</f>
        <v>2</v>
      </c>
      <c r="O110" s="17" cm="1">
        <f t="array" ref="O110">_xlfn.IFS(AND(L110&gt;=4.1,L110&lt;=41.49),1,AND(L110&gt;=41.5,L110&lt;=78.86),2,AND(L110&gt;=78.87,L110&lt;=116.23),3,AND(L110&gt;=116.24,L110&lt;=153.6),4,AND(L110&gt;=153.61,L110&lt;=190.97),5)</f>
        <v>2</v>
      </c>
      <c r="P110" s="17">
        <f t="shared" si="1"/>
        <v>8</v>
      </c>
      <c r="Q110" s="17" t="str" cm="1">
        <f t="array" ref="Q110">_xlfn.IFS(P110&gt;=14,"Best Customers",AND(P110&gt;=10,P110&lt;14),"Loyal Customers",AND(P110&gt;=7,P110&lt;10),"Potential Customers",AND(P110&gt;=4,P110&lt;7),"Need Attention",P110&lt;4,"At Risk")</f>
        <v>Potential Customers</v>
      </c>
    </row>
    <row r="111" spans="1:17" x14ac:dyDescent="0.35">
      <c r="A111" t="s">
        <v>206</v>
      </c>
      <c r="B111" t="s">
        <v>130</v>
      </c>
      <c r="C111" s="1">
        <v>45623.343007002317</v>
      </c>
      <c r="D111" t="s">
        <v>10</v>
      </c>
      <c r="E111">
        <v>15.59</v>
      </c>
      <c r="I111" s="17" t="s">
        <v>177</v>
      </c>
      <c r="J111" s="18">
        <v>167.65699074073927</v>
      </c>
      <c r="K111" s="17">
        <v>3</v>
      </c>
      <c r="L111" s="17">
        <v>52.660000000000004</v>
      </c>
      <c r="M111" s="17" cm="1">
        <f t="array" ref="M111">_xlfn.IFS(AND(J111&gt;=65,J111&lt;=141),5,AND(J111&gt;141,J111&lt;=213),4,AND(J111&gt;213,J111&lt;=285),3,AND(J111&gt;285,J111&lt;=357),2,AND(J111&gt;357,J111&lt;=430),1)</f>
        <v>4</v>
      </c>
      <c r="N111" s="17" cm="1">
        <f t="array" ref="N111">_xlfn.IFS(AND(K111&gt;=1,K111&lt;=2),1,AND(K111&gt;=3,K111&lt;=4),2,AND(K111&gt;=5,K111&lt;=6),3,AND(K111&gt;=6,K111&lt;=9),4,AND(K111&gt;=10,K111&lt;=12),5)</f>
        <v>2</v>
      </c>
      <c r="O111" s="17" cm="1">
        <f t="array" ref="O111">_xlfn.IFS(AND(L111&gt;=4.1,L111&lt;=41.49),1,AND(L111&gt;=41.5,L111&lt;=78.86),2,AND(L111&gt;=78.87,L111&lt;=116.23),3,AND(L111&gt;=116.24,L111&lt;=153.6),4,AND(L111&gt;=153.61,L111&lt;=190.97),5)</f>
        <v>2</v>
      </c>
      <c r="P111" s="17">
        <f t="shared" si="1"/>
        <v>8</v>
      </c>
      <c r="Q111" s="17" t="str" cm="1">
        <f t="array" ref="Q111">_xlfn.IFS(P111&gt;=14,"Best Customers",AND(P111&gt;=10,P111&lt;14),"Loyal Customers",AND(P111&gt;=7,P111&lt;10),"Potential Customers",AND(P111&gt;=4,P111&lt;7),"Need Attention",P111&lt;4,"At Risk")</f>
        <v>Potential Customers</v>
      </c>
    </row>
    <row r="112" spans="1:17" x14ac:dyDescent="0.35">
      <c r="A112" t="s">
        <v>207</v>
      </c>
      <c r="B112" t="s">
        <v>94</v>
      </c>
      <c r="C112" s="1">
        <v>45730.343007002317</v>
      </c>
      <c r="D112" t="s">
        <v>7</v>
      </c>
      <c r="E112">
        <v>40.03</v>
      </c>
      <c r="I112" s="17" t="s">
        <v>952</v>
      </c>
      <c r="J112" s="18">
        <v>201.65699074073927</v>
      </c>
      <c r="K112" s="17">
        <v>1</v>
      </c>
      <c r="L112" s="17">
        <v>4.38</v>
      </c>
      <c r="M112" s="17" cm="1">
        <f t="array" ref="M112">_xlfn.IFS(AND(J112&gt;=65,J112&lt;=141),5,AND(J112&gt;141,J112&lt;=213),4,AND(J112&gt;213,J112&lt;=285),3,AND(J112&gt;285,J112&lt;=357),2,AND(J112&gt;357,J112&lt;=430),1)</f>
        <v>4</v>
      </c>
      <c r="N112" s="17" cm="1">
        <f t="array" ref="N112">_xlfn.IFS(AND(K112&gt;=1,K112&lt;=2),1,AND(K112&gt;=3,K112&lt;=4),2,AND(K112&gt;=5,K112&lt;=6),3,AND(K112&gt;=6,K112&lt;=9),4,AND(K112&gt;=10,K112&lt;=12),5)</f>
        <v>1</v>
      </c>
      <c r="O112" s="17" cm="1">
        <f t="array" ref="O112">_xlfn.IFS(AND(L112&gt;=4.1,L112&lt;=41.49),1,AND(L112&gt;=41.5,L112&lt;=78.86),2,AND(L112&gt;=78.87,L112&lt;=116.23),3,AND(L112&gt;=116.24,L112&lt;=153.6),4,AND(L112&gt;=153.61,L112&lt;=190.97),5)</f>
        <v>1</v>
      </c>
      <c r="P112" s="17">
        <f t="shared" si="1"/>
        <v>6</v>
      </c>
      <c r="Q112" s="17" t="str" cm="1">
        <f t="array" ref="Q112">_xlfn.IFS(P112&gt;=14,"Best Customers",AND(P112&gt;=10,P112&lt;14),"Loyal Customers",AND(P112&gt;=7,P112&lt;10),"Potential Customers",AND(P112&gt;=4,P112&lt;7),"Need Attention",P112&lt;4,"At Risk")</f>
        <v>Need Attention</v>
      </c>
    </row>
    <row r="113" spans="1:17" x14ac:dyDescent="0.35">
      <c r="A113" t="s">
        <v>208</v>
      </c>
      <c r="B113" t="s">
        <v>209</v>
      </c>
      <c r="C113" s="1">
        <v>45796.343007002317</v>
      </c>
      <c r="D113" t="s">
        <v>16</v>
      </c>
      <c r="E113">
        <v>8.56</v>
      </c>
      <c r="I113" s="17" t="s">
        <v>248</v>
      </c>
      <c r="J113" s="18">
        <v>83.656990740739275</v>
      </c>
      <c r="K113" s="17">
        <v>7</v>
      </c>
      <c r="L113" s="17">
        <v>150.87</v>
      </c>
      <c r="M113" s="17" cm="1">
        <f t="array" ref="M113">_xlfn.IFS(AND(J113&gt;=65,J113&lt;=141),5,AND(J113&gt;141,J113&lt;=213),4,AND(J113&gt;213,J113&lt;=285),3,AND(J113&gt;285,J113&lt;=357),2,AND(J113&gt;357,J113&lt;=430),1)</f>
        <v>5</v>
      </c>
      <c r="N113" s="17" cm="1">
        <f t="array" ref="N113">_xlfn.IFS(AND(K113&gt;=1,K113&lt;=2),1,AND(K113&gt;=3,K113&lt;=4),2,AND(K113&gt;=5,K113&lt;=6),3,AND(K113&gt;=6,K113&lt;=9),4,AND(K113&gt;=10,K113&lt;=12),5)</f>
        <v>4</v>
      </c>
      <c r="O113" s="17" cm="1">
        <f t="array" ref="O113">_xlfn.IFS(AND(L113&gt;=4.1,L113&lt;=41.49),1,AND(L113&gt;=41.5,L113&lt;=78.86),2,AND(L113&gt;=78.87,L113&lt;=116.23),3,AND(L113&gt;=116.24,L113&lt;=153.6),4,AND(L113&gt;=153.61,L113&lt;=190.97),5)</f>
        <v>4</v>
      </c>
      <c r="P113" s="17">
        <f t="shared" si="1"/>
        <v>13</v>
      </c>
      <c r="Q113" s="17" t="str" cm="1">
        <f t="array" ref="Q113">_xlfn.IFS(P113&gt;=14,"Best Customers",AND(P113&gt;=10,P113&lt;14),"Loyal Customers",AND(P113&gt;=7,P113&lt;10),"Potential Customers",AND(P113&gt;=4,P113&lt;7),"Need Attention",P113&lt;4,"At Risk")</f>
        <v>Loyal Customers</v>
      </c>
    </row>
    <row r="114" spans="1:17" x14ac:dyDescent="0.35">
      <c r="A114" t="s">
        <v>210</v>
      </c>
      <c r="B114" t="s">
        <v>211</v>
      </c>
      <c r="C114" s="1">
        <v>45923.343007002317</v>
      </c>
      <c r="D114" t="s">
        <v>7</v>
      </c>
      <c r="E114">
        <v>33.85</v>
      </c>
      <c r="I114" s="17" t="s">
        <v>153</v>
      </c>
      <c r="J114" s="18">
        <v>150.65699074073927</v>
      </c>
      <c r="K114" s="17">
        <v>4</v>
      </c>
      <c r="L114" s="17">
        <v>46.040000000000006</v>
      </c>
      <c r="M114" s="17" cm="1">
        <f t="array" ref="M114">_xlfn.IFS(AND(J114&gt;=65,J114&lt;=141),5,AND(J114&gt;141,J114&lt;=213),4,AND(J114&gt;213,J114&lt;=285),3,AND(J114&gt;285,J114&lt;=357),2,AND(J114&gt;357,J114&lt;=430),1)</f>
        <v>4</v>
      </c>
      <c r="N114" s="17" cm="1">
        <f t="array" ref="N114">_xlfn.IFS(AND(K114&gt;=1,K114&lt;=2),1,AND(K114&gt;=3,K114&lt;=4),2,AND(K114&gt;=5,K114&lt;=6),3,AND(K114&gt;=6,K114&lt;=9),4,AND(K114&gt;=10,K114&lt;=12),5)</f>
        <v>2</v>
      </c>
      <c r="O114" s="17" cm="1">
        <f t="array" ref="O114">_xlfn.IFS(AND(L114&gt;=4.1,L114&lt;=41.49),1,AND(L114&gt;=41.5,L114&lt;=78.86),2,AND(L114&gt;=78.87,L114&lt;=116.23),3,AND(L114&gt;=116.24,L114&lt;=153.6),4,AND(L114&gt;=153.61,L114&lt;=190.97),5)</f>
        <v>2</v>
      </c>
      <c r="P114" s="17">
        <f t="shared" si="1"/>
        <v>8</v>
      </c>
      <c r="Q114" s="17" t="str" cm="1">
        <f t="array" ref="Q114">_xlfn.IFS(P114&gt;=14,"Best Customers",AND(P114&gt;=10,P114&lt;14),"Loyal Customers",AND(P114&gt;=7,P114&lt;10),"Potential Customers",AND(P114&gt;=4,P114&lt;7),"Need Attention",P114&lt;4,"At Risk")</f>
        <v>Potential Customers</v>
      </c>
    </row>
    <row r="115" spans="1:17" x14ac:dyDescent="0.35">
      <c r="A115" t="s">
        <v>212</v>
      </c>
      <c r="B115" t="s">
        <v>213</v>
      </c>
      <c r="C115" s="1">
        <v>45863.343007002317</v>
      </c>
      <c r="D115" t="s">
        <v>10</v>
      </c>
      <c r="E115">
        <v>12.93</v>
      </c>
      <c r="I115" s="17" t="s">
        <v>409</v>
      </c>
      <c r="J115" s="18">
        <v>122.65699074073927</v>
      </c>
      <c r="K115" s="17">
        <v>5</v>
      </c>
      <c r="L115" s="17">
        <v>106.08</v>
      </c>
      <c r="M115" s="17" cm="1">
        <f t="array" ref="M115">_xlfn.IFS(AND(J115&gt;=65,J115&lt;=141),5,AND(J115&gt;141,J115&lt;=213),4,AND(J115&gt;213,J115&lt;=285),3,AND(J115&gt;285,J115&lt;=357),2,AND(J115&gt;357,J115&lt;=430),1)</f>
        <v>5</v>
      </c>
      <c r="N115" s="17" cm="1">
        <f t="array" ref="N115">_xlfn.IFS(AND(K115&gt;=1,K115&lt;=2),1,AND(K115&gt;=3,K115&lt;=4),2,AND(K115&gt;=5,K115&lt;=6),3,AND(K115&gt;=6,K115&lt;=9),4,AND(K115&gt;=10,K115&lt;=12),5)</f>
        <v>3</v>
      </c>
      <c r="O115" s="17" cm="1">
        <f t="array" ref="O115">_xlfn.IFS(AND(L115&gt;=4.1,L115&lt;=41.49),1,AND(L115&gt;=41.5,L115&lt;=78.86),2,AND(L115&gt;=78.87,L115&lt;=116.23),3,AND(L115&gt;=116.24,L115&lt;=153.6),4,AND(L115&gt;=153.61,L115&lt;=190.97),5)</f>
        <v>3</v>
      </c>
      <c r="P115" s="17">
        <f t="shared" si="1"/>
        <v>11</v>
      </c>
      <c r="Q115" s="17" t="str" cm="1">
        <f t="array" ref="Q115">_xlfn.IFS(P115&gt;=14,"Best Customers",AND(P115&gt;=10,P115&lt;14),"Loyal Customers",AND(P115&gt;=7,P115&lt;10),"Potential Customers",AND(P115&gt;=4,P115&lt;7),"Need Attention",P115&lt;4,"At Risk")</f>
        <v>Loyal Customers</v>
      </c>
    </row>
    <row r="116" spans="1:17" x14ac:dyDescent="0.35">
      <c r="A116" t="s">
        <v>214</v>
      </c>
      <c r="B116" t="s">
        <v>215</v>
      </c>
      <c r="C116" s="1">
        <v>45628.343007002317</v>
      </c>
      <c r="D116" t="s">
        <v>16</v>
      </c>
      <c r="E116">
        <v>8.69</v>
      </c>
      <c r="I116" s="17" t="s">
        <v>374</v>
      </c>
      <c r="J116" s="18">
        <v>92.656990740739275</v>
      </c>
      <c r="K116" s="17">
        <v>5</v>
      </c>
      <c r="L116" s="17">
        <v>88.56</v>
      </c>
      <c r="M116" s="17" cm="1">
        <f t="array" ref="M116">_xlfn.IFS(AND(J116&gt;=65,J116&lt;=141),5,AND(J116&gt;141,J116&lt;=213),4,AND(J116&gt;213,J116&lt;=285),3,AND(J116&gt;285,J116&lt;=357),2,AND(J116&gt;357,J116&lt;=430),1)</f>
        <v>5</v>
      </c>
      <c r="N116" s="17" cm="1">
        <f t="array" ref="N116">_xlfn.IFS(AND(K116&gt;=1,K116&lt;=2),1,AND(K116&gt;=3,K116&lt;=4),2,AND(K116&gt;=5,K116&lt;=6),3,AND(K116&gt;=6,K116&lt;=9),4,AND(K116&gt;=10,K116&lt;=12),5)</f>
        <v>3</v>
      </c>
      <c r="O116" s="17" cm="1">
        <f t="array" ref="O116">_xlfn.IFS(AND(L116&gt;=4.1,L116&lt;=41.49),1,AND(L116&gt;=41.5,L116&lt;=78.86),2,AND(L116&gt;=78.87,L116&lt;=116.23),3,AND(L116&gt;=116.24,L116&lt;=153.6),4,AND(L116&gt;=153.61,L116&lt;=190.97),5)</f>
        <v>3</v>
      </c>
      <c r="P116" s="17">
        <f t="shared" si="1"/>
        <v>11</v>
      </c>
      <c r="Q116" s="17" t="str" cm="1">
        <f t="array" ref="Q116">_xlfn.IFS(P116&gt;=14,"Best Customers",AND(P116&gt;=10,P116&lt;14),"Loyal Customers",AND(P116&gt;=7,P116&lt;10),"Potential Customers",AND(P116&gt;=4,P116&lt;7),"Need Attention",P116&lt;4,"At Risk")</f>
        <v>Loyal Customers</v>
      </c>
    </row>
    <row r="117" spans="1:17" x14ac:dyDescent="0.35">
      <c r="A117" t="s">
        <v>216</v>
      </c>
      <c r="B117" t="s">
        <v>217</v>
      </c>
      <c r="C117" s="1">
        <v>45643.343007002317</v>
      </c>
      <c r="D117" t="s">
        <v>7</v>
      </c>
      <c r="E117">
        <v>42.21</v>
      </c>
      <c r="I117" s="17" t="s">
        <v>1089</v>
      </c>
      <c r="J117" s="18">
        <v>185.65699074073927</v>
      </c>
      <c r="K117" s="17">
        <v>2</v>
      </c>
      <c r="L117" s="17">
        <v>44.730000000000004</v>
      </c>
      <c r="M117" s="17" cm="1">
        <f t="array" ref="M117">_xlfn.IFS(AND(J117&gt;=65,J117&lt;=141),5,AND(J117&gt;141,J117&lt;=213),4,AND(J117&gt;213,J117&lt;=285),3,AND(J117&gt;285,J117&lt;=357),2,AND(J117&gt;357,J117&lt;=430),1)</f>
        <v>4</v>
      </c>
      <c r="N117" s="17" cm="1">
        <f t="array" ref="N117">_xlfn.IFS(AND(K117&gt;=1,K117&lt;=2),1,AND(K117&gt;=3,K117&lt;=4),2,AND(K117&gt;=5,K117&lt;=6),3,AND(K117&gt;=6,K117&lt;=9),4,AND(K117&gt;=10,K117&lt;=12),5)</f>
        <v>1</v>
      </c>
      <c r="O117" s="17" cm="1">
        <f t="array" ref="O117">_xlfn.IFS(AND(L117&gt;=4.1,L117&lt;=41.49),1,AND(L117&gt;=41.5,L117&lt;=78.86),2,AND(L117&gt;=78.87,L117&lt;=116.23),3,AND(L117&gt;=116.24,L117&lt;=153.6),4,AND(L117&gt;=153.61,L117&lt;=190.97),5)</f>
        <v>2</v>
      </c>
      <c r="P117" s="17">
        <f t="shared" si="1"/>
        <v>7</v>
      </c>
      <c r="Q117" s="17" t="str" cm="1">
        <f t="array" ref="Q117">_xlfn.IFS(P117&gt;=14,"Best Customers",AND(P117&gt;=10,P117&lt;14),"Loyal Customers",AND(P117&gt;=7,P117&lt;10),"Potential Customers",AND(P117&gt;=4,P117&lt;7),"Need Attention",P117&lt;4,"At Risk")</f>
        <v>Potential Customers</v>
      </c>
    </row>
    <row r="118" spans="1:17" x14ac:dyDescent="0.35">
      <c r="A118" t="s">
        <v>218</v>
      </c>
      <c r="B118" t="s">
        <v>219</v>
      </c>
      <c r="C118" s="1">
        <v>45657.343007002317</v>
      </c>
      <c r="D118" t="s">
        <v>29</v>
      </c>
      <c r="E118">
        <v>27.41</v>
      </c>
      <c r="I118" s="17" t="s">
        <v>493</v>
      </c>
      <c r="J118" s="18">
        <v>124.65699074073927</v>
      </c>
      <c r="K118" s="17">
        <v>3</v>
      </c>
      <c r="L118" s="17">
        <v>45.870000000000005</v>
      </c>
      <c r="M118" s="17" cm="1">
        <f t="array" ref="M118">_xlfn.IFS(AND(J118&gt;=65,J118&lt;=141),5,AND(J118&gt;141,J118&lt;=213),4,AND(J118&gt;213,J118&lt;=285),3,AND(J118&gt;285,J118&lt;=357),2,AND(J118&gt;357,J118&lt;=430),1)</f>
        <v>5</v>
      </c>
      <c r="N118" s="17" cm="1">
        <f t="array" ref="N118">_xlfn.IFS(AND(K118&gt;=1,K118&lt;=2),1,AND(K118&gt;=3,K118&lt;=4),2,AND(K118&gt;=5,K118&lt;=6),3,AND(K118&gt;=6,K118&lt;=9),4,AND(K118&gt;=10,K118&lt;=12),5)</f>
        <v>2</v>
      </c>
      <c r="O118" s="17" cm="1">
        <f t="array" ref="O118">_xlfn.IFS(AND(L118&gt;=4.1,L118&lt;=41.49),1,AND(L118&gt;=41.5,L118&lt;=78.86),2,AND(L118&gt;=78.87,L118&lt;=116.23),3,AND(L118&gt;=116.24,L118&lt;=153.6),4,AND(L118&gt;=153.61,L118&lt;=190.97),5)</f>
        <v>2</v>
      </c>
      <c r="P118" s="17">
        <f t="shared" si="1"/>
        <v>9</v>
      </c>
      <c r="Q118" s="17" t="str" cm="1">
        <f t="array" ref="Q118">_xlfn.IFS(P118&gt;=14,"Best Customers",AND(P118&gt;=10,P118&lt;14),"Loyal Customers",AND(P118&gt;=7,P118&lt;10),"Potential Customers",AND(P118&gt;=4,P118&lt;7),"Need Attention",P118&lt;4,"At Risk")</f>
        <v>Potential Customers</v>
      </c>
    </row>
    <row r="119" spans="1:17" x14ac:dyDescent="0.35">
      <c r="A119" t="s">
        <v>220</v>
      </c>
      <c r="B119" t="s">
        <v>221</v>
      </c>
      <c r="C119" s="1">
        <v>45811.343007002317</v>
      </c>
      <c r="D119" t="s">
        <v>10</v>
      </c>
      <c r="E119">
        <v>15.18</v>
      </c>
      <c r="I119" s="17" t="s">
        <v>151</v>
      </c>
      <c r="J119" s="18">
        <v>130.65699074073927</v>
      </c>
      <c r="K119" s="17">
        <v>3</v>
      </c>
      <c r="L119" s="17">
        <v>59.820000000000007</v>
      </c>
      <c r="M119" s="17" cm="1">
        <f t="array" ref="M119">_xlfn.IFS(AND(J119&gt;=65,J119&lt;=141),5,AND(J119&gt;141,J119&lt;=213),4,AND(J119&gt;213,J119&lt;=285),3,AND(J119&gt;285,J119&lt;=357),2,AND(J119&gt;357,J119&lt;=430),1)</f>
        <v>5</v>
      </c>
      <c r="N119" s="17" cm="1">
        <f t="array" ref="N119">_xlfn.IFS(AND(K119&gt;=1,K119&lt;=2),1,AND(K119&gt;=3,K119&lt;=4),2,AND(K119&gt;=5,K119&lt;=6),3,AND(K119&gt;=6,K119&lt;=9),4,AND(K119&gt;=10,K119&lt;=12),5)</f>
        <v>2</v>
      </c>
      <c r="O119" s="17" cm="1">
        <f t="array" ref="O119">_xlfn.IFS(AND(L119&gt;=4.1,L119&lt;=41.49),1,AND(L119&gt;=41.5,L119&lt;=78.86),2,AND(L119&gt;=78.87,L119&lt;=116.23),3,AND(L119&gt;=116.24,L119&lt;=153.6),4,AND(L119&gt;=153.61,L119&lt;=190.97),5)</f>
        <v>2</v>
      </c>
      <c r="P119" s="17">
        <f t="shared" si="1"/>
        <v>9</v>
      </c>
      <c r="Q119" s="17" t="str" cm="1">
        <f t="array" ref="Q119">_xlfn.IFS(P119&gt;=14,"Best Customers",AND(P119&gt;=10,P119&lt;14),"Loyal Customers",AND(P119&gt;=7,P119&lt;10),"Potential Customers",AND(P119&gt;=4,P119&lt;7),"Need Attention",P119&lt;4,"At Risk")</f>
        <v>Potential Customers</v>
      </c>
    </row>
    <row r="120" spans="1:17" x14ac:dyDescent="0.35">
      <c r="A120" t="s">
        <v>222</v>
      </c>
      <c r="B120" t="s">
        <v>223</v>
      </c>
      <c r="C120" s="1">
        <v>45888.343007002317</v>
      </c>
      <c r="D120" t="s">
        <v>10</v>
      </c>
      <c r="E120">
        <v>16.97</v>
      </c>
      <c r="I120" s="17" t="s">
        <v>736</v>
      </c>
      <c r="J120" s="18">
        <v>254.65699074073927</v>
      </c>
      <c r="K120" s="17">
        <v>2</v>
      </c>
      <c r="L120" s="17">
        <v>27.5</v>
      </c>
      <c r="M120" s="17" cm="1">
        <f t="array" ref="M120">_xlfn.IFS(AND(J120&gt;=65,J120&lt;=141),5,AND(J120&gt;141,J120&lt;=213),4,AND(J120&gt;213,J120&lt;=285),3,AND(J120&gt;285,J120&lt;=357),2,AND(J120&gt;357,J120&lt;=430),1)</f>
        <v>3</v>
      </c>
      <c r="N120" s="17" cm="1">
        <f t="array" ref="N120">_xlfn.IFS(AND(K120&gt;=1,K120&lt;=2),1,AND(K120&gt;=3,K120&lt;=4),2,AND(K120&gt;=5,K120&lt;=6),3,AND(K120&gt;=6,K120&lt;=9),4,AND(K120&gt;=10,K120&lt;=12),5)</f>
        <v>1</v>
      </c>
      <c r="O120" s="17" cm="1">
        <f t="array" ref="O120">_xlfn.IFS(AND(L120&gt;=4.1,L120&lt;=41.49),1,AND(L120&gt;=41.5,L120&lt;=78.86),2,AND(L120&gt;=78.87,L120&lt;=116.23),3,AND(L120&gt;=116.24,L120&lt;=153.6),4,AND(L120&gt;=153.61,L120&lt;=190.97),5)</f>
        <v>1</v>
      </c>
      <c r="P120" s="17">
        <f t="shared" si="1"/>
        <v>5</v>
      </c>
      <c r="Q120" s="17" t="str" cm="1">
        <f t="array" ref="Q120">_xlfn.IFS(P120&gt;=14,"Best Customers",AND(P120&gt;=10,P120&lt;14),"Loyal Customers",AND(P120&gt;=7,P120&lt;10),"Potential Customers",AND(P120&gt;=4,P120&lt;7),"Need Attention",P120&lt;4,"At Risk")</f>
        <v>Need Attention</v>
      </c>
    </row>
    <row r="121" spans="1:17" x14ac:dyDescent="0.35">
      <c r="A121" t="s">
        <v>224</v>
      </c>
      <c r="B121" t="s">
        <v>225</v>
      </c>
      <c r="C121" s="1">
        <v>45694.343007002317</v>
      </c>
      <c r="D121" t="s">
        <v>10</v>
      </c>
      <c r="E121">
        <v>17.95</v>
      </c>
      <c r="I121" s="17" t="s">
        <v>102</v>
      </c>
      <c r="J121" s="18">
        <v>267.65699074073927</v>
      </c>
      <c r="K121" s="17">
        <v>3</v>
      </c>
      <c r="L121" s="17">
        <v>41.379999999999995</v>
      </c>
      <c r="M121" s="17" cm="1">
        <f t="array" ref="M121">_xlfn.IFS(AND(J121&gt;=65,J121&lt;=141),5,AND(J121&gt;141,J121&lt;=213),4,AND(J121&gt;213,J121&lt;=285),3,AND(J121&gt;285,J121&lt;=357),2,AND(J121&gt;357,J121&lt;=430),1)</f>
        <v>3</v>
      </c>
      <c r="N121" s="17" cm="1">
        <f t="array" ref="N121">_xlfn.IFS(AND(K121&gt;=1,K121&lt;=2),1,AND(K121&gt;=3,K121&lt;=4),2,AND(K121&gt;=5,K121&lt;=6),3,AND(K121&gt;=6,K121&lt;=9),4,AND(K121&gt;=10,K121&lt;=12),5)</f>
        <v>2</v>
      </c>
      <c r="O121" s="17" cm="1">
        <f t="array" ref="O121">_xlfn.IFS(AND(L121&gt;=4.1,L121&lt;=41.49),1,AND(L121&gt;=41.5,L121&lt;=78.86),2,AND(L121&gt;=78.87,L121&lt;=116.23),3,AND(L121&gt;=116.24,L121&lt;=153.6),4,AND(L121&gt;=153.61,L121&lt;=190.97),5)</f>
        <v>1</v>
      </c>
      <c r="P121" s="17">
        <f t="shared" si="1"/>
        <v>6</v>
      </c>
      <c r="Q121" s="17" t="str" cm="1">
        <f t="array" ref="Q121">_xlfn.IFS(P121&gt;=14,"Best Customers",AND(P121&gt;=10,P121&lt;14),"Loyal Customers",AND(P121&gt;=7,P121&lt;10),"Potential Customers",AND(P121&gt;=4,P121&lt;7),"Need Attention",P121&lt;4,"At Risk")</f>
        <v>Need Attention</v>
      </c>
    </row>
    <row r="122" spans="1:17" x14ac:dyDescent="0.35">
      <c r="A122" t="s">
        <v>226</v>
      </c>
      <c r="B122" t="s">
        <v>58</v>
      </c>
      <c r="C122" s="1">
        <v>45767.343007002317</v>
      </c>
      <c r="D122" t="s">
        <v>29</v>
      </c>
      <c r="E122">
        <v>28.2</v>
      </c>
      <c r="I122" s="17" t="s">
        <v>1122</v>
      </c>
      <c r="J122" s="18">
        <v>250.65699074073927</v>
      </c>
      <c r="K122" s="17">
        <v>2</v>
      </c>
      <c r="L122" s="17">
        <v>20.420000000000002</v>
      </c>
      <c r="M122" s="17" cm="1">
        <f t="array" ref="M122">_xlfn.IFS(AND(J122&gt;=65,J122&lt;=141),5,AND(J122&gt;141,J122&lt;=213),4,AND(J122&gt;213,J122&lt;=285),3,AND(J122&gt;285,J122&lt;=357),2,AND(J122&gt;357,J122&lt;=430),1)</f>
        <v>3</v>
      </c>
      <c r="N122" s="17" cm="1">
        <f t="array" ref="N122">_xlfn.IFS(AND(K122&gt;=1,K122&lt;=2),1,AND(K122&gt;=3,K122&lt;=4),2,AND(K122&gt;=5,K122&lt;=6),3,AND(K122&gt;=6,K122&lt;=9),4,AND(K122&gt;=10,K122&lt;=12),5)</f>
        <v>1</v>
      </c>
      <c r="O122" s="17" cm="1">
        <f t="array" ref="O122">_xlfn.IFS(AND(L122&gt;=4.1,L122&lt;=41.49),1,AND(L122&gt;=41.5,L122&lt;=78.86),2,AND(L122&gt;=78.87,L122&lt;=116.23),3,AND(L122&gt;=116.24,L122&lt;=153.6),4,AND(L122&gt;=153.61,L122&lt;=190.97),5)</f>
        <v>1</v>
      </c>
      <c r="P122" s="17">
        <f t="shared" si="1"/>
        <v>5</v>
      </c>
      <c r="Q122" s="17" t="str" cm="1">
        <f t="array" ref="Q122">_xlfn.IFS(P122&gt;=14,"Best Customers",AND(P122&gt;=10,P122&lt;14),"Loyal Customers",AND(P122&gt;=7,P122&lt;10),"Potential Customers",AND(P122&gt;=4,P122&lt;7),"Need Attention",P122&lt;4,"At Risk")</f>
        <v>Need Attention</v>
      </c>
    </row>
    <row r="123" spans="1:17" x14ac:dyDescent="0.35">
      <c r="A123" t="s">
        <v>227</v>
      </c>
      <c r="B123" t="s">
        <v>228</v>
      </c>
      <c r="C123" s="1">
        <v>45955.343007002317</v>
      </c>
      <c r="D123" t="s">
        <v>29</v>
      </c>
      <c r="E123">
        <v>26.95</v>
      </c>
      <c r="I123" s="17" t="s">
        <v>215</v>
      </c>
      <c r="J123" s="18">
        <v>206.65699074073927</v>
      </c>
      <c r="K123" s="17">
        <v>2</v>
      </c>
      <c r="L123" s="17">
        <v>23.58</v>
      </c>
      <c r="M123" s="17" cm="1">
        <f t="array" ref="M123">_xlfn.IFS(AND(J123&gt;=65,J123&lt;=141),5,AND(J123&gt;141,J123&lt;=213),4,AND(J123&gt;213,J123&lt;=285),3,AND(J123&gt;285,J123&lt;=357),2,AND(J123&gt;357,J123&lt;=430),1)</f>
        <v>4</v>
      </c>
      <c r="N123" s="17" cm="1">
        <f t="array" ref="N123">_xlfn.IFS(AND(K123&gt;=1,K123&lt;=2),1,AND(K123&gt;=3,K123&lt;=4),2,AND(K123&gt;=5,K123&lt;=6),3,AND(K123&gt;=6,K123&lt;=9),4,AND(K123&gt;=10,K123&lt;=12),5)</f>
        <v>1</v>
      </c>
      <c r="O123" s="17" cm="1">
        <f t="array" ref="O123">_xlfn.IFS(AND(L123&gt;=4.1,L123&lt;=41.49),1,AND(L123&gt;=41.5,L123&lt;=78.86),2,AND(L123&gt;=78.87,L123&lt;=116.23),3,AND(L123&gt;=116.24,L123&lt;=153.6),4,AND(L123&gt;=153.61,L123&lt;=190.97),5)</f>
        <v>1</v>
      </c>
      <c r="P123" s="17">
        <f t="shared" si="1"/>
        <v>6</v>
      </c>
      <c r="Q123" s="17" t="str" cm="1">
        <f t="array" ref="Q123">_xlfn.IFS(P123&gt;=14,"Best Customers",AND(P123&gt;=10,P123&lt;14),"Loyal Customers",AND(P123&gt;=7,P123&lt;10),"Potential Customers",AND(P123&gt;=4,P123&lt;7),"Need Attention",P123&lt;4,"At Risk")</f>
        <v>Need Attention</v>
      </c>
    </row>
    <row r="124" spans="1:17" x14ac:dyDescent="0.35">
      <c r="A124" t="s">
        <v>229</v>
      </c>
      <c r="B124" t="s">
        <v>230</v>
      </c>
      <c r="C124" s="1">
        <v>45809.343007002317</v>
      </c>
      <c r="D124" t="s">
        <v>50</v>
      </c>
      <c r="E124">
        <v>5.0599999999999996</v>
      </c>
      <c r="I124" s="17" t="s">
        <v>266</v>
      </c>
      <c r="J124" s="18">
        <v>96.656990740739275</v>
      </c>
      <c r="K124" s="17">
        <v>3</v>
      </c>
      <c r="L124" s="17">
        <v>53.66</v>
      </c>
      <c r="M124" s="17" cm="1">
        <f t="array" ref="M124">_xlfn.IFS(AND(J124&gt;=65,J124&lt;=141),5,AND(J124&gt;141,J124&lt;=213),4,AND(J124&gt;213,J124&lt;=285),3,AND(J124&gt;285,J124&lt;=357),2,AND(J124&gt;357,J124&lt;=430),1)</f>
        <v>5</v>
      </c>
      <c r="N124" s="17" cm="1">
        <f t="array" ref="N124">_xlfn.IFS(AND(K124&gt;=1,K124&lt;=2),1,AND(K124&gt;=3,K124&lt;=4),2,AND(K124&gt;=5,K124&lt;=6),3,AND(K124&gt;=6,K124&lt;=9),4,AND(K124&gt;=10,K124&lt;=12),5)</f>
        <v>2</v>
      </c>
      <c r="O124" s="17" cm="1">
        <f t="array" ref="O124">_xlfn.IFS(AND(L124&gt;=4.1,L124&lt;=41.49),1,AND(L124&gt;=41.5,L124&lt;=78.86),2,AND(L124&gt;=78.87,L124&lt;=116.23),3,AND(L124&gt;=116.24,L124&lt;=153.6),4,AND(L124&gt;=153.61,L124&lt;=190.97),5)</f>
        <v>2</v>
      </c>
      <c r="P124" s="17">
        <f t="shared" si="1"/>
        <v>9</v>
      </c>
      <c r="Q124" s="17" t="str" cm="1">
        <f t="array" ref="Q124">_xlfn.IFS(P124&gt;=14,"Best Customers",AND(P124&gt;=10,P124&lt;14),"Loyal Customers",AND(P124&gt;=7,P124&lt;10),"Potential Customers",AND(P124&gt;=4,P124&lt;7),"Need Attention",P124&lt;4,"At Risk")</f>
        <v>Potential Customers</v>
      </c>
    </row>
    <row r="125" spans="1:17" x14ac:dyDescent="0.35">
      <c r="A125" t="s">
        <v>231</v>
      </c>
      <c r="B125" t="s">
        <v>62</v>
      </c>
      <c r="C125" s="1">
        <v>45630.343007002317</v>
      </c>
      <c r="D125" t="s">
        <v>13</v>
      </c>
      <c r="E125">
        <v>11.75</v>
      </c>
      <c r="I125" s="17" t="s">
        <v>542</v>
      </c>
      <c r="J125" s="18">
        <v>214.65699074073927</v>
      </c>
      <c r="K125" s="17">
        <v>3</v>
      </c>
      <c r="L125" s="17">
        <v>46.099999999999994</v>
      </c>
      <c r="M125" s="17" cm="1">
        <f t="array" ref="M125">_xlfn.IFS(AND(J125&gt;=65,J125&lt;=141),5,AND(J125&gt;141,J125&lt;=213),4,AND(J125&gt;213,J125&lt;=285),3,AND(J125&gt;285,J125&lt;=357),2,AND(J125&gt;357,J125&lt;=430),1)</f>
        <v>3</v>
      </c>
      <c r="N125" s="17" cm="1">
        <f t="array" ref="N125">_xlfn.IFS(AND(K125&gt;=1,K125&lt;=2),1,AND(K125&gt;=3,K125&lt;=4),2,AND(K125&gt;=5,K125&lt;=6),3,AND(K125&gt;=6,K125&lt;=9),4,AND(K125&gt;=10,K125&lt;=12),5)</f>
        <v>2</v>
      </c>
      <c r="O125" s="17" cm="1">
        <f t="array" ref="O125">_xlfn.IFS(AND(L125&gt;=4.1,L125&lt;=41.49),1,AND(L125&gt;=41.5,L125&lt;=78.86),2,AND(L125&gt;=78.87,L125&lt;=116.23),3,AND(L125&gt;=116.24,L125&lt;=153.6),4,AND(L125&gt;=153.61,L125&lt;=190.97),5)</f>
        <v>2</v>
      </c>
      <c r="P125" s="17">
        <f t="shared" si="1"/>
        <v>7</v>
      </c>
      <c r="Q125" s="17" t="str" cm="1">
        <f t="array" ref="Q125">_xlfn.IFS(P125&gt;=14,"Best Customers",AND(P125&gt;=10,P125&lt;14),"Loyal Customers",AND(P125&gt;=7,P125&lt;10),"Potential Customers",AND(P125&gt;=4,P125&lt;7),"Need Attention",P125&lt;4,"At Risk")</f>
        <v>Potential Customers</v>
      </c>
    </row>
    <row r="126" spans="1:17" x14ac:dyDescent="0.35">
      <c r="A126" t="s">
        <v>232</v>
      </c>
      <c r="B126" t="s">
        <v>233</v>
      </c>
      <c r="C126" s="1">
        <v>45822.343007002317</v>
      </c>
      <c r="D126" t="s">
        <v>7</v>
      </c>
      <c r="E126">
        <v>33.35</v>
      </c>
      <c r="I126" s="17" t="s">
        <v>28</v>
      </c>
      <c r="J126" s="18">
        <v>219.65699074073927</v>
      </c>
      <c r="K126" s="17">
        <v>6</v>
      </c>
      <c r="L126" s="17">
        <v>70.78</v>
      </c>
      <c r="M126" s="17" cm="1">
        <f t="array" ref="M126">_xlfn.IFS(AND(J126&gt;=65,J126&lt;=141),5,AND(J126&gt;141,J126&lt;=213),4,AND(J126&gt;213,J126&lt;=285),3,AND(J126&gt;285,J126&lt;=357),2,AND(J126&gt;357,J126&lt;=430),1)</f>
        <v>3</v>
      </c>
      <c r="N126" s="17" cm="1">
        <f t="array" ref="N126">_xlfn.IFS(AND(K126&gt;=1,K126&lt;=2),1,AND(K126&gt;=3,K126&lt;=4),2,AND(K126&gt;=5,K126&lt;=6),3,AND(K126&gt;=6,K126&lt;=9),4,AND(K126&gt;=10,K126&lt;=12),5)</f>
        <v>3</v>
      </c>
      <c r="O126" s="17" cm="1">
        <f t="array" ref="O126">_xlfn.IFS(AND(L126&gt;=4.1,L126&lt;=41.49),1,AND(L126&gt;=41.5,L126&lt;=78.86),2,AND(L126&gt;=78.87,L126&lt;=116.23),3,AND(L126&gt;=116.24,L126&lt;=153.6),4,AND(L126&gt;=153.61,L126&lt;=190.97),5)</f>
        <v>2</v>
      </c>
      <c r="P126" s="17">
        <f t="shared" si="1"/>
        <v>8</v>
      </c>
      <c r="Q126" s="17" t="str" cm="1">
        <f t="array" ref="Q126">_xlfn.IFS(P126&gt;=14,"Best Customers",AND(P126&gt;=10,P126&lt;14),"Loyal Customers",AND(P126&gt;=7,P126&lt;10),"Potential Customers",AND(P126&gt;=4,P126&lt;7),"Need Attention",P126&lt;4,"At Risk")</f>
        <v>Potential Customers</v>
      </c>
    </row>
    <row r="127" spans="1:17" x14ac:dyDescent="0.35">
      <c r="A127" t="s">
        <v>234</v>
      </c>
      <c r="B127" t="s">
        <v>33</v>
      </c>
      <c r="C127" s="1">
        <v>45696.343007002317</v>
      </c>
      <c r="D127" t="s">
        <v>50</v>
      </c>
      <c r="E127">
        <v>4.8</v>
      </c>
      <c r="I127" s="17" t="s">
        <v>337</v>
      </c>
      <c r="J127" s="18">
        <v>80.656990740739275</v>
      </c>
      <c r="K127" s="17">
        <v>5</v>
      </c>
      <c r="L127" s="17">
        <v>131.69</v>
      </c>
      <c r="M127" s="17" cm="1">
        <f t="array" ref="M127">_xlfn.IFS(AND(J127&gt;=65,J127&lt;=141),5,AND(J127&gt;141,J127&lt;=213),4,AND(J127&gt;213,J127&lt;=285),3,AND(J127&gt;285,J127&lt;=357),2,AND(J127&gt;357,J127&lt;=430),1)</f>
        <v>5</v>
      </c>
      <c r="N127" s="17" cm="1">
        <f t="array" ref="N127">_xlfn.IFS(AND(K127&gt;=1,K127&lt;=2),1,AND(K127&gt;=3,K127&lt;=4),2,AND(K127&gt;=5,K127&lt;=6),3,AND(K127&gt;=6,K127&lt;=9),4,AND(K127&gt;=10,K127&lt;=12),5)</f>
        <v>3</v>
      </c>
      <c r="O127" s="17" cm="1">
        <f t="array" ref="O127">_xlfn.IFS(AND(L127&gt;=4.1,L127&lt;=41.49),1,AND(L127&gt;=41.5,L127&lt;=78.86),2,AND(L127&gt;=78.87,L127&lt;=116.23),3,AND(L127&gt;=116.24,L127&lt;=153.6),4,AND(L127&gt;=153.61,L127&lt;=190.97),5)</f>
        <v>4</v>
      </c>
      <c r="P127" s="17">
        <f t="shared" si="1"/>
        <v>12</v>
      </c>
      <c r="Q127" s="17" t="str" cm="1">
        <f t="array" ref="Q127">_xlfn.IFS(P127&gt;=14,"Best Customers",AND(P127&gt;=10,P127&lt;14),"Loyal Customers",AND(P127&gt;=7,P127&lt;10),"Potential Customers",AND(P127&gt;=4,P127&lt;7),"Need Attention",P127&lt;4,"At Risk")</f>
        <v>Loyal Customers</v>
      </c>
    </row>
    <row r="128" spans="1:17" x14ac:dyDescent="0.35">
      <c r="A128" t="s">
        <v>235</v>
      </c>
      <c r="B128" t="s">
        <v>236</v>
      </c>
      <c r="C128" s="1">
        <v>45726.343007002317</v>
      </c>
      <c r="D128" t="s">
        <v>7</v>
      </c>
      <c r="E128">
        <v>46.56</v>
      </c>
      <c r="I128" s="17" t="s">
        <v>82</v>
      </c>
      <c r="J128" s="18">
        <v>145.65699074073927</v>
      </c>
      <c r="K128" s="17">
        <v>4</v>
      </c>
      <c r="L128" s="17">
        <v>65.009999999999991</v>
      </c>
      <c r="M128" s="17" cm="1">
        <f t="array" ref="M128">_xlfn.IFS(AND(J128&gt;=65,J128&lt;=141),5,AND(J128&gt;141,J128&lt;=213),4,AND(J128&gt;213,J128&lt;=285),3,AND(J128&gt;285,J128&lt;=357),2,AND(J128&gt;357,J128&lt;=430),1)</f>
        <v>4</v>
      </c>
      <c r="N128" s="17" cm="1">
        <f t="array" ref="N128">_xlfn.IFS(AND(K128&gt;=1,K128&lt;=2),1,AND(K128&gt;=3,K128&lt;=4),2,AND(K128&gt;=5,K128&lt;=6),3,AND(K128&gt;=6,K128&lt;=9),4,AND(K128&gt;=10,K128&lt;=12),5)</f>
        <v>2</v>
      </c>
      <c r="O128" s="17" cm="1">
        <f t="array" ref="O128">_xlfn.IFS(AND(L128&gt;=4.1,L128&lt;=41.49),1,AND(L128&gt;=41.5,L128&lt;=78.86),2,AND(L128&gt;=78.87,L128&lt;=116.23),3,AND(L128&gt;=116.24,L128&lt;=153.6),4,AND(L128&gt;=153.61,L128&lt;=190.97),5)</f>
        <v>2</v>
      </c>
      <c r="P128" s="17">
        <f t="shared" si="1"/>
        <v>8</v>
      </c>
      <c r="Q128" s="17" t="str" cm="1">
        <f t="array" ref="Q128">_xlfn.IFS(P128&gt;=14,"Best Customers",AND(P128&gt;=10,P128&lt;14),"Loyal Customers",AND(P128&gt;=7,P128&lt;10),"Potential Customers",AND(P128&gt;=4,P128&lt;7),"Need Attention",P128&lt;4,"At Risk")</f>
        <v>Potential Customers</v>
      </c>
    </row>
    <row r="129" spans="1:17" x14ac:dyDescent="0.35">
      <c r="A129" t="s">
        <v>237</v>
      </c>
      <c r="B129" t="s">
        <v>238</v>
      </c>
      <c r="C129" s="1">
        <v>45852.343007002317</v>
      </c>
      <c r="D129" t="s">
        <v>13</v>
      </c>
      <c r="E129">
        <v>13.48</v>
      </c>
      <c r="I129" s="17" t="s">
        <v>211</v>
      </c>
      <c r="J129" s="18">
        <v>106.65699074073927</v>
      </c>
      <c r="K129" s="17">
        <v>4</v>
      </c>
      <c r="L129" s="17">
        <v>57.97</v>
      </c>
      <c r="M129" s="17" cm="1">
        <f t="array" ref="M129">_xlfn.IFS(AND(J129&gt;=65,J129&lt;=141),5,AND(J129&gt;141,J129&lt;=213),4,AND(J129&gt;213,J129&lt;=285),3,AND(J129&gt;285,J129&lt;=357),2,AND(J129&gt;357,J129&lt;=430),1)</f>
        <v>5</v>
      </c>
      <c r="N129" s="17" cm="1">
        <f t="array" ref="N129">_xlfn.IFS(AND(K129&gt;=1,K129&lt;=2),1,AND(K129&gt;=3,K129&lt;=4),2,AND(K129&gt;=5,K129&lt;=6),3,AND(K129&gt;=6,K129&lt;=9),4,AND(K129&gt;=10,K129&lt;=12),5)</f>
        <v>2</v>
      </c>
      <c r="O129" s="17" cm="1">
        <f t="array" ref="O129">_xlfn.IFS(AND(L129&gt;=4.1,L129&lt;=41.49),1,AND(L129&gt;=41.5,L129&lt;=78.86),2,AND(L129&gt;=78.87,L129&lt;=116.23),3,AND(L129&gt;=116.24,L129&lt;=153.6),4,AND(L129&gt;=153.61,L129&lt;=190.97),5)</f>
        <v>2</v>
      </c>
      <c r="P129" s="17">
        <f t="shared" si="1"/>
        <v>9</v>
      </c>
      <c r="Q129" s="17" t="str" cm="1">
        <f t="array" ref="Q129">_xlfn.IFS(P129&gt;=14,"Best Customers",AND(P129&gt;=10,P129&lt;14),"Loyal Customers",AND(P129&gt;=7,P129&lt;10),"Potential Customers",AND(P129&gt;=4,P129&lt;7),"Need Attention",P129&lt;4,"At Risk")</f>
        <v>Potential Customers</v>
      </c>
    </row>
    <row r="130" spans="1:17" x14ac:dyDescent="0.35">
      <c r="A130" t="s">
        <v>239</v>
      </c>
      <c r="B130" t="s">
        <v>56</v>
      </c>
      <c r="C130" s="1">
        <v>45600.343007002317</v>
      </c>
      <c r="D130" t="s">
        <v>29</v>
      </c>
      <c r="E130">
        <v>22.16</v>
      </c>
      <c r="I130" s="17" t="s">
        <v>122</v>
      </c>
      <c r="J130" s="18">
        <v>170.65699074073927</v>
      </c>
      <c r="K130" s="17">
        <v>4</v>
      </c>
      <c r="L130" s="17">
        <v>53.77</v>
      </c>
      <c r="M130" s="17" cm="1">
        <f t="array" ref="M130">_xlfn.IFS(AND(J130&gt;=65,J130&lt;=141),5,AND(J130&gt;141,J130&lt;=213),4,AND(J130&gt;213,J130&lt;=285),3,AND(J130&gt;285,J130&lt;=357),2,AND(J130&gt;357,J130&lt;=430),1)</f>
        <v>4</v>
      </c>
      <c r="N130" s="17" cm="1">
        <f t="array" ref="N130">_xlfn.IFS(AND(K130&gt;=1,K130&lt;=2),1,AND(K130&gt;=3,K130&lt;=4),2,AND(K130&gt;=5,K130&lt;=6),3,AND(K130&gt;=6,K130&lt;=9),4,AND(K130&gt;=10,K130&lt;=12),5)</f>
        <v>2</v>
      </c>
      <c r="O130" s="17" cm="1">
        <f t="array" ref="O130">_xlfn.IFS(AND(L130&gt;=4.1,L130&lt;=41.49),1,AND(L130&gt;=41.5,L130&lt;=78.86),2,AND(L130&gt;=78.87,L130&lt;=116.23),3,AND(L130&gt;=116.24,L130&lt;=153.6),4,AND(L130&gt;=153.61,L130&lt;=190.97),5)</f>
        <v>2</v>
      </c>
      <c r="P130" s="17">
        <f t="shared" si="1"/>
        <v>8</v>
      </c>
      <c r="Q130" s="17" t="str" cm="1">
        <f t="array" ref="Q130">_xlfn.IFS(P130&gt;=14,"Best Customers",AND(P130&gt;=10,P130&lt;14),"Loyal Customers",AND(P130&gt;=7,P130&lt;10),"Potential Customers",AND(P130&gt;=4,P130&lt;7),"Need Attention",P130&lt;4,"At Risk")</f>
        <v>Potential Customers</v>
      </c>
    </row>
    <row r="131" spans="1:17" x14ac:dyDescent="0.35">
      <c r="A131" t="s">
        <v>240</v>
      </c>
      <c r="B131" t="s">
        <v>241</v>
      </c>
      <c r="C131" s="1">
        <v>45813.343007002317</v>
      </c>
      <c r="D131" t="s">
        <v>13</v>
      </c>
      <c r="E131">
        <v>11.84</v>
      </c>
      <c r="I131" s="17" t="s">
        <v>167</v>
      </c>
      <c r="J131" s="18">
        <v>96.656990740739275</v>
      </c>
      <c r="K131" s="17">
        <v>3</v>
      </c>
      <c r="L131" s="17">
        <v>52.02</v>
      </c>
      <c r="M131" s="17" cm="1">
        <f t="array" ref="M131">_xlfn.IFS(AND(J131&gt;=65,J131&lt;=141),5,AND(J131&gt;141,J131&lt;=213),4,AND(J131&gt;213,J131&lt;=285),3,AND(J131&gt;285,J131&lt;=357),2,AND(J131&gt;357,J131&lt;=430),1)</f>
        <v>5</v>
      </c>
      <c r="N131" s="17" cm="1">
        <f t="array" ref="N131">_xlfn.IFS(AND(K131&gt;=1,K131&lt;=2),1,AND(K131&gt;=3,K131&lt;=4),2,AND(K131&gt;=5,K131&lt;=6),3,AND(K131&gt;=6,K131&lt;=9),4,AND(K131&gt;=10,K131&lt;=12),5)</f>
        <v>2</v>
      </c>
      <c r="O131" s="17" cm="1">
        <f t="array" ref="O131">_xlfn.IFS(AND(L131&gt;=4.1,L131&lt;=41.49),1,AND(L131&gt;=41.5,L131&lt;=78.86),2,AND(L131&gt;=78.87,L131&lt;=116.23),3,AND(L131&gt;=116.24,L131&lt;=153.6),4,AND(L131&gt;=153.61,L131&lt;=190.97),5)</f>
        <v>2</v>
      </c>
      <c r="P131" s="17">
        <f t="shared" si="1"/>
        <v>9</v>
      </c>
      <c r="Q131" s="17" t="str" cm="1">
        <f t="array" ref="Q131">_xlfn.IFS(P131&gt;=14,"Best Customers",AND(P131&gt;=10,P131&lt;14),"Loyal Customers",AND(P131&gt;=7,P131&lt;10),"Potential Customers",AND(P131&gt;=4,P131&lt;7),"Need Attention",P131&lt;4,"At Risk")</f>
        <v>Potential Customers</v>
      </c>
    </row>
    <row r="132" spans="1:17" x14ac:dyDescent="0.35">
      <c r="A132" t="s">
        <v>242</v>
      </c>
      <c r="B132" t="s">
        <v>243</v>
      </c>
      <c r="C132" s="1">
        <v>45850.343007002317</v>
      </c>
      <c r="D132" t="s">
        <v>29</v>
      </c>
      <c r="E132">
        <v>28.17</v>
      </c>
      <c r="I132" s="17" t="s">
        <v>49</v>
      </c>
      <c r="J132" s="18">
        <v>75.656990740739275</v>
      </c>
      <c r="K132" s="17">
        <v>4</v>
      </c>
      <c r="L132" s="17">
        <v>34.400000000000006</v>
      </c>
      <c r="M132" s="17" cm="1">
        <f t="array" ref="M132">_xlfn.IFS(AND(J132&gt;=65,J132&lt;=141),5,AND(J132&gt;141,J132&lt;=213),4,AND(J132&gt;213,J132&lt;=285),3,AND(J132&gt;285,J132&lt;=357),2,AND(J132&gt;357,J132&lt;=430),1)</f>
        <v>5</v>
      </c>
      <c r="N132" s="17" cm="1">
        <f t="array" ref="N132">_xlfn.IFS(AND(K132&gt;=1,K132&lt;=2),1,AND(K132&gt;=3,K132&lt;=4),2,AND(K132&gt;=5,K132&lt;=6),3,AND(K132&gt;=6,K132&lt;=9),4,AND(K132&gt;=10,K132&lt;=12),5)</f>
        <v>2</v>
      </c>
      <c r="O132" s="17" cm="1">
        <f t="array" ref="O132">_xlfn.IFS(AND(L132&gt;=4.1,L132&lt;=41.49),1,AND(L132&gt;=41.5,L132&lt;=78.86),2,AND(L132&gt;=78.87,L132&lt;=116.23),3,AND(L132&gt;=116.24,L132&lt;=153.6),4,AND(L132&gt;=153.61,L132&lt;=190.97),5)</f>
        <v>1</v>
      </c>
      <c r="P132" s="17">
        <f t="shared" ref="P132:P195" si="2">SUM(M132:O132)</f>
        <v>8</v>
      </c>
      <c r="Q132" s="17" t="str" cm="1">
        <f t="array" ref="Q132">_xlfn.IFS(P132&gt;=14,"Best Customers",AND(P132&gt;=10,P132&lt;14),"Loyal Customers",AND(P132&gt;=7,P132&lt;10),"Potential Customers",AND(P132&gt;=4,P132&lt;7),"Need Attention",P132&lt;4,"At Risk")</f>
        <v>Potential Customers</v>
      </c>
    </row>
    <row r="133" spans="1:17" x14ac:dyDescent="0.35">
      <c r="A133" t="s">
        <v>244</v>
      </c>
      <c r="B133" t="s">
        <v>49</v>
      </c>
      <c r="C133" s="1">
        <v>45954.343007002317</v>
      </c>
      <c r="D133" t="s">
        <v>13</v>
      </c>
      <c r="E133">
        <v>9.92</v>
      </c>
      <c r="I133" s="17" t="s">
        <v>20</v>
      </c>
      <c r="J133" s="18">
        <v>245.65699074073927</v>
      </c>
      <c r="K133" s="17">
        <v>1</v>
      </c>
      <c r="L133" s="17">
        <v>15.44</v>
      </c>
      <c r="M133" s="17" cm="1">
        <f t="array" ref="M133">_xlfn.IFS(AND(J133&gt;=65,J133&lt;=141),5,AND(J133&gt;141,J133&lt;=213),4,AND(J133&gt;213,J133&lt;=285),3,AND(J133&gt;285,J133&lt;=357),2,AND(J133&gt;357,J133&lt;=430),1)</f>
        <v>3</v>
      </c>
      <c r="N133" s="17" cm="1">
        <f t="array" ref="N133">_xlfn.IFS(AND(K133&gt;=1,K133&lt;=2),1,AND(K133&gt;=3,K133&lt;=4),2,AND(K133&gt;=5,K133&lt;=6),3,AND(K133&gt;=6,K133&lt;=9),4,AND(K133&gt;=10,K133&lt;=12),5)</f>
        <v>1</v>
      </c>
      <c r="O133" s="17" cm="1">
        <f t="array" ref="O133">_xlfn.IFS(AND(L133&gt;=4.1,L133&lt;=41.49),1,AND(L133&gt;=41.5,L133&lt;=78.86),2,AND(L133&gt;=78.87,L133&lt;=116.23),3,AND(L133&gt;=116.24,L133&lt;=153.6),4,AND(L133&gt;=153.61,L133&lt;=190.97),5)</f>
        <v>1</v>
      </c>
      <c r="P133" s="17">
        <f t="shared" si="2"/>
        <v>5</v>
      </c>
      <c r="Q133" s="17" t="str" cm="1">
        <f t="array" ref="Q133">_xlfn.IFS(P133&gt;=14,"Best Customers",AND(P133&gt;=10,P133&lt;14),"Loyal Customers",AND(P133&gt;=7,P133&lt;10),"Potential Customers",AND(P133&gt;=4,P133&lt;7),"Need Attention",P133&lt;4,"At Risk")</f>
        <v>Need Attention</v>
      </c>
    </row>
    <row r="134" spans="1:17" x14ac:dyDescent="0.35">
      <c r="A134" t="s">
        <v>245</v>
      </c>
      <c r="B134" t="s">
        <v>246</v>
      </c>
      <c r="C134" s="1">
        <v>45878.343007002317</v>
      </c>
      <c r="D134" t="s">
        <v>50</v>
      </c>
      <c r="E134">
        <v>4.7699999999999996</v>
      </c>
      <c r="I134" s="17" t="s">
        <v>665</v>
      </c>
      <c r="J134" s="18">
        <v>276.65699074073927</v>
      </c>
      <c r="K134" s="17">
        <v>1</v>
      </c>
      <c r="L134" s="17">
        <v>27.37</v>
      </c>
      <c r="M134" s="17" cm="1">
        <f t="array" ref="M134">_xlfn.IFS(AND(J134&gt;=65,J134&lt;=141),5,AND(J134&gt;141,J134&lt;=213),4,AND(J134&gt;213,J134&lt;=285),3,AND(J134&gt;285,J134&lt;=357),2,AND(J134&gt;357,J134&lt;=430),1)</f>
        <v>3</v>
      </c>
      <c r="N134" s="17" cm="1">
        <f t="array" ref="N134">_xlfn.IFS(AND(K134&gt;=1,K134&lt;=2),1,AND(K134&gt;=3,K134&lt;=4),2,AND(K134&gt;=5,K134&lt;=6),3,AND(K134&gt;=6,K134&lt;=9),4,AND(K134&gt;=10,K134&lt;=12),5)</f>
        <v>1</v>
      </c>
      <c r="O134" s="17" cm="1">
        <f t="array" ref="O134">_xlfn.IFS(AND(L134&gt;=4.1,L134&lt;=41.49),1,AND(L134&gt;=41.5,L134&lt;=78.86),2,AND(L134&gt;=78.87,L134&lt;=116.23),3,AND(L134&gt;=116.24,L134&lt;=153.6),4,AND(L134&gt;=153.61,L134&lt;=190.97),5)</f>
        <v>1</v>
      </c>
      <c r="P134" s="17">
        <f t="shared" si="2"/>
        <v>5</v>
      </c>
      <c r="Q134" s="17" t="str" cm="1">
        <f t="array" ref="Q134">_xlfn.IFS(P134&gt;=14,"Best Customers",AND(P134&gt;=10,P134&lt;14),"Loyal Customers",AND(P134&gt;=7,P134&lt;10),"Potential Customers",AND(P134&gt;=4,P134&lt;7),"Need Attention",P134&lt;4,"At Risk")</f>
        <v>Need Attention</v>
      </c>
    </row>
    <row r="135" spans="1:17" x14ac:dyDescent="0.35">
      <c r="A135" t="s">
        <v>247</v>
      </c>
      <c r="B135" t="s">
        <v>248</v>
      </c>
      <c r="C135" s="1">
        <v>45802.343007002317</v>
      </c>
      <c r="D135" t="s">
        <v>16</v>
      </c>
      <c r="E135">
        <v>11.41</v>
      </c>
      <c r="I135" s="17" t="s">
        <v>202</v>
      </c>
      <c r="J135" s="18">
        <v>103.65699074073927</v>
      </c>
      <c r="K135" s="17">
        <v>5</v>
      </c>
      <c r="L135" s="17">
        <v>35.08</v>
      </c>
      <c r="M135" s="17" cm="1">
        <f t="array" ref="M135">_xlfn.IFS(AND(J135&gt;=65,J135&lt;=141),5,AND(J135&gt;141,J135&lt;=213),4,AND(J135&gt;213,J135&lt;=285),3,AND(J135&gt;285,J135&lt;=357),2,AND(J135&gt;357,J135&lt;=430),1)</f>
        <v>5</v>
      </c>
      <c r="N135" s="17" cm="1">
        <f t="array" ref="N135">_xlfn.IFS(AND(K135&gt;=1,K135&lt;=2),1,AND(K135&gt;=3,K135&lt;=4),2,AND(K135&gt;=5,K135&lt;=6),3,AND(K135&gt;=6,K135&lt;=9),4,AND(K135&gt;=10,K135&lt;=12),5)</f>
        <v>3</v>
      </c>
      <c r="O135" s="17" cm="1">
        <f t="array" ref="O135">_xlfn.IFS(AND(L135&gt;=4.1,L135&lt;=41.49),1,AND(L135&gt;=41.5,L135&lt;=78.86),2,AND(L135&gt;=78.87,L135&lt;=116.23),3,AND(L135&gt;=116.24,L135&lt;=153.6),4,AND(L135&gt;=153.61,L135&lt;=190.97),5)</f>
        <v>1</v>
      </c>
      <c r="P135" s="17">
        <f t="shared" si="2"/>
        <v>9</v>
      </c>
      <c r="Q135" s="17" t="str" cm="1">
        <f t="array" ref="Q135">_xlfn.IFS(P135&gt;=14,"Best Customers",AND(P135&gt;=10,P135&lt;14),"Loyal Customers",AND(P135&gt;=7,P135&lt;10),"Potential Customers",AND(P135&gt;=4,P135&lt;7),"Need Attention",P135&lt;4,"At Risk")</f>
        <v>Potential Customers</v>
      </c>
    </row>
    <row r="136" spans="1:17" x14ac:dyDescent="0.35">
      <c r="A136" t="s">
        <v>249</v>
      </c>
      <c r="B136" t="s">
        <v>250</v>
      </c>
      <c r="C136" s="1">
        <v>45610.343007002317</v>
      </c>
      <c r="D136" t="s">
        <v>50</v>
      </c>
      <c r="E136">
        <v>4.8099999999999996</v>
      </c>
      <c r="I136" s="17" t="s">
        <v>657</v>
      </c>
      <c r="J136" s="18">
        <v>79.656990740739275</v>
      </c>
      <c r="K136" s="17">
        <v>2</v>
      </c>
      <c r="L136" s="17">
        <v>40.78</v>
      </c>
      <c r="M136" s="17" cm="1">
        <f t="array" ref="M136">_xlfn.IFS(AND(J136&gt;=65,J136&lt;=141),5,AND(J136&gt;141,J136&lt;=213),4,AND(J136&gt;213,J136&lt;=285),3,AND(J136&gt;285,J136&lt;=357),2,AND(J136&gt;357,J136&lt;=430),1)</f>
        <v>5</v>
      </c>
      <c r="N136" s="17" cm="1">
        <f t="array" ref="N136">_xlfn.IFS(AND(K136&gt;=1,K136&lt;=2),1,AND(K136&gt;=3,K136&lt;=4),2,AND(K136&gt;=5,K136&lt;=6),3,AND(K136&gt;=6,K136&lt;=9),4,AND(K136&gt;=10,K136&lt;=12),5)</f>
        <v>1</v>
      </c>
      <c r="O136" s="17" cm="1">
        <f t="array" ref="O136">_xlfn.IFS(AND(L136&gt;=4.1,L136&lt;=41.49),1,AND(L136&gt;=41.5,L136&lt;=78.86),2,AND(L136&gt;=78.87,L136&lt;=116.23),3,AND(L136&gt;=116.24,L136&lt;=153.6),4,AND(L136&gt;=153.61,L136&lt;=190.97),5)</f>
        <v>1</v>
      </c>
      <c r="P136" s="17">
        <f t="shared" si="2"/>
        <v>7</v>
      </c>
      <c r="Q136" s="17" t="str" cm="1">
        <f t="array" ref="Q136">_xlfn.IFS(P136&gt;=14,"Best Customers",AND(P136&gt;=10,P136&lt;14),"Loyal Customers",AND(P136&gt;=7,P136&lt;10),"Potential Customers",AND(P136&gt;=4,P136&lt;7),"Need Attention",P136&lt;4,"At Risk")</f>
        <v>Potential Customers</v>
      </c>
    </row>
    <row r="137" spans="1:17" x14ac:dyDescent="0.35">
      <c r="A137" t="s">
        <v>251</v>
      </c>
      <c r="B137" t="s">
        <v>70</v>
      </c>
      <c r="C137" s="1">
        <v>45941.343007002317</v>
      </c>
      <c r="D137" t="s">
        <v>7</v>
      </c>
      <c r="E137">
        <v>33.24</v>
      </c>
      <c r="I137" s="17" t="s">
        <v>108</v>
      </c>
      <c r="J137" s="18">
        <v>118.65699074073927</v>
      </c>
      <c r="K137" s="17">
        <v>6</v>
      </c>
      <c r="L137" s="17">
        <v>170.41</v>
      </c>
      <c r="M137" s="17" cm="1">
        <f t="array" ref="M137">_xlfn.IFS(AND(J137&gt;=65,J137&lt;=141),5,AND(J137&gt;141,J137&lt;=213),4,AND(J137&gt;213,J137&lt;=285),3,AND(J137&gt;285,J137&lt;=357),2,AND(J137&gt;357,J137&lt;=430),1)</f>
        <v>5</v>
      </c>
      <c r="N137" s="17" cm="1">
        <f t="array" ref="N137">_xlfn.IFS(AND(K137&gt;=1,K137&lt;=2),1,AND(K137&gt;=3,K137&lt;=4),2,AND(K137&gt;=5,K137&lt;=6),3,AND(K137&gt;=6,K137&lt;=9),4,AND(K137&gt;=10,K137&lt;=12),5)</f>
        <v>3</v>
      </c>
      <c r="O137" s="17" cm="1">
        <f t="array" ref="O137">_xlfn.IFS(AND(L137&gt;=4.1,L137&lt;=41.49),1,AND(L137&gt;=41.5,L137&lt;=78.86),2,AND(L137&gt;=78.87,L137&lt;=116.23),3,AND(L137&gt;=116.24,L137&lt;=153.6),4,AND(L137&gt;=153.61,L137&lt;=190.97),5)</f>
        <v>5</v>
      </c>
      <c r="P137" s="17">
        <f t="shared" si="2"/>
        <v>13</v>
      </c>
      <c r="Q137" s="17" t="str" cm="1">
        <f t="array" ref="Q137">_xlfn.IFS(P137&gt;=14,"Best Customers",AND(P137&gt;=10,P137&lt;14),"Loyal Customers",AND(P137&gt;=7,P137&lt;10),"Potential Customers",AND(P137&gt;=4,P137&lt;7),"Need Attention",P137&lt;4,"At Risk")</f>
        <v>Loyal Customers</v>
      </c>
    </row>
    <row r="138" spans="1:17" x14ac:dyDescent="0.35">
      <c r="A138" t="s">
        <v>252</v>
      </c>
      <c r="B138" t="s">
        <v>106</v>
      </c>
      <c r="C138" s="1">
        <v>45637.343007002317</v>
      </c>
      <c r="D138" t="s">
        <v>50</v>
      </c>
      <c r="E138">
        <v>5.09</v>
      </c>
      <c r="I138" s="17" t="s">
        <v>313</v>
      </c>
      <c r="J138" s="18">
        <v>152.65699074073927</v>
      </c>
      <c r="K138" s="17">
        <v>2</v>
      </c>
      <c r="L138" s="17">
        <v>16.04</v>
      </c>
      <c r="M138" s="17" cm="1">
        <f t="array" ref="M138">_xlfn.IFS(AND(J138&gt;=65,J138&lt;=141),5,AND(J138&gt;141,J138&lt;=213),4,AND(J138&gt;213,J138&lt;=285),3,AND(J138&gt;285,J138&lt;=357),2,AND(J138&gt;357,J138&lt;=430),1)</f>
        <v>4</v>
      </c>
      <c r="N138" s="17" cm="1">
        <f t="array" ref="N138">_xlfn.IFS(AND(K138&gt;=1,K138&lt;=2),1,AND(K138&gt;=3,K138&lt;=4),2,AND(K138&gt;=5,K138&lt;=6),3,AND(K138&gt;=6,K138&lt;=9),4,AND(K138&gt;=10,K138&lt;=12),5)</f>
        <v>1</v>
      </c>
      <c r="O138" s="17" cm="1">
        <f t="array" ref="O138">_xlfn.IFS(AND(L138&gt;=4.1,L138&lt;=41.49),1,AND(L138&gt;=41.5,L138&lt;=78.86),2,AND(L138&gt;=78.87,L138&lt;=116.23),3,AND(L138&gt;=116.24,L138&lt;=153.6),4,AND(L138&gt;=153.61,L138&lt;=190.97),5)</f>
        <v>1</v>
      </c>
      <c r="P138" s="17">
        <f t="shared" si="2"/>
        <v>6</v>
      </c>
      <c r="Q138" s="17" t="str" cm="1">
        <f t="array" ref="Q138">_xlfn.IFS(P138&gt;=14,"Best Customers",AND(P138&gt;=10,P138&lt;14),"Loyal Customers",AND(P138&gt;=7,P138&lt;10),"Potential Customers",AND(P138&gt;=4,P138&lt;7),"Need Attention",P138&lt;4,"At Risk")</f>
        <v>Need Attention</v>
      </c>
    </row>
    <row r="139" spans="1:17" x14ac:dyDescent="0.35">
      <c r="A139" t="s">
        <v>253</v>
      </c>
      <c r="B139" t="s">
        <v>254</v>
      </c>
      <c r="C139" s="1">
        <v>45774.343007002317</v>
      </c>
      <c r="D139" t="s">
        <v>10</v>
      </c>
      <c r="E139">
        <v>17.170000000000002</v>
      </c>
      <c r="I139" s="17" t="s">
        <v>112</v>
      </c>
      <c r="J139" s="18">
        <v>192.65699074073927</v>
      </c>
      <c r="K139" s="17">
        <v>5</v>
      </c>
      <c r="L139" s="17">
        <v>85.98</v>
      </c>
      <c r="M139" s="17" cm="1">
        <f t="array" ref="M139">_xlfn.IFS(AND(J139&gt;=65,J139&lt;=141),5,AND(J139&gt;141,J139&lt;=213),4,AND(J139&gt;213,J139&lt;=285),3,AND(J139&gt;285,J139&lt;=357),2,AND(J139&gt;357,J139&lt;=430),1)</f>
        <v>4</v>
      </c>
      <c r="N139" s="17" cm="1">
        <f t="array" ref="N139">_xlfn.IFS(AND(K139&gt;=1,K139&lt;=2),1,AND(K139&gt;=3,K139&lt;=4),2,AND(K139&gt;=5,K139&lt;=6),3,AND(K139&gt;=6,K139&lt;=9),4,AND(K139&gt;=10,K139&lt;=12),5)</f>
        <v>3</v>
      </c>
      <c r="O139" s="17" cm="1">
        <f t="array" ref="O139">_xlfn.IFS(AND(L139&gt;=4.1,L139&lt;=41.49),1,AND(L139&gt;=41.5,L139&lt;=78.86),2,AND(L139&gt;=78.87,L139&lt;=116.23),3,AND(L139&gt;=116.24,L139&lt;=153.6),4,AND(L139&gt;=153.61,L139&lt;=190.97),5)</f>
        <v>3</v>
      </c>
      <c r="P139" s="17">
        <f t="shared" si="2"/>
        <v>10</v>
      </c>
      <c r="Q139" s="17" t="str" cm="1">
        <f t="array" ref="Q139">_xlfn.IFS(P139&gt;=14,"Best Customers",AND(P139&gt;=10,P139&lt;14),"Loyal Customers",AND(P139&gt;=7,P139&lt;10),"Potential Customers",AND(P139&gt;=4,P139&lt;7),"Need Attention",P139&lt;4,"At Risk")</f>
        <v>Loyal Customers</v>
      </c>
    </row>
    <row r="140" spans="1:17" x14ac:dyDescent="0.35">
      <c r="A140" t="s">
        <v>255</v>
      </c>
      <c r="B140" t="s">
        <v>256</v>
      </c>
      <c r="C140" s="1">
        <v>45658.343007002317</v>
      </c>
      <c r="D140" t="s">
        <v>7</v>
      </c>
      <c r="E140">
        <v>41.44</v>
      </c>
      <c r="I140" s="17" t="s">
        <v>465</v>
      </c>
      <c r="J140" s="18">
        <v>119.65699074073927</v>
      </c>
      <c r="K140" s="17">
        <v>4</v>
      </c>
      <c r="L140" s="17">
        <v>64.989999999999995</v>
      </c>
      <c r="M140" s="17" cm="1">
        <f t="array" ref="M140">_xlfn.IFS(AND(J140&gt;=65,J140&lt;=141),5,AND(J140&gt;141,J140&lt;=213),4,AND(J140&gt;213,J140&lt;=285),3,AND(J140&gt;285,J140&lt;=357),2,AND(J140&gt;357,J140&lt;=430),1)</f>
        <v>5</v>
      </c>
      <c r="N140" s="17" cm="1">
        <f t="array" ref="N140">_xlfn.IFS(AND(K140&gt;=1,K140&lt;=2),1,AND(K140&gt;=3,K140&lt;=4),2,AND(K140&gt;=5,K140&lt;=6),3,AND(K140&gt;=6,K140&lt;=9),4,AND(K140&gt;=10,K140&lt;=12),5)</f>
        <v>2</v>
      </c>
      <c r="O140" s="17" cm="1">
        <f t="array" ref="O140">_xlfn.IFS(AND(L140&gt;=4.1,L140&lt;=41.49),1,AND(L140&gt;=41.5,L140&lt;=78.86),2,AND(L140&gt;=78.87,L140&lt;=116.23),3,AND(L140&gt;=116.24,L140&lt;=153.6),4,AND(L140&gt;=153.61,L140&lt;=190.97),5)</f>
        <v>2</v>
      </c>
      <c r="P140" s="17">
        <f t="shared" si="2"/>
        <v>9</v>
      </c>
      <c r="Q140" s="17" t="str" cm="1">
        <f t="array" ref="Q140">_xlfn.IFS(P140&gt;=14,"Best Customers",AND(P140&gt;=10,P140&lt;14),"Loyal Customers",AND(P140&gt;=7,P140&lt;10),"Potential Customers",AND(P140&gt;=4,P140&lt;7),"Need Attention",P140&lt;4,"At Risk")</f>
        <v>Potential Customers</v>
      </c>
    </row>
    <row r="141" spans="1:17" x14ac:dyDescent="0.35">
      <c r="A141" t="s">
        <v>257</v>
      </c>
      <c r="B141" t="s">
        <v>258</v>
      </c>
      <c r="C141" s="1">
        <v>45947.343007002317</v>
      </c>
      <c r="D141" t="s">
        <v>13</v>
      </c>
      <c r="E141">
        <v>10.69</v>
      </c>
      <c r="I141" s="17" t="s">
        <v>389</v>
      </c>
      <c r="J141" s="18">
        <v>166.65699074073927</v>
      </c>
      <c r="K141" s="17">
        <v>5</v>
      </c>
      <c r="L141" s="17">
        <v>98.47999999999999</v>
      </c>
      <c r="M141" s="17" cm="1">
        <f t="array" ref="M141">_xlfn.IFS(AND(J141&gt;=65,J141&lt;=141),5,AND(J141&gt;141,J141&lt;=213),4,AND(J141&gt;213,J141&lt;=285),3,AND(J141&gt;285,J141&lt;=357),2,AND(J141&gt;357,J141&lt;=430),1)</f>
        <v>4</v>
      </c>
      <c r="N141" s="17" cm="1">
        <f t="array" ref="N141">_xlfn.IFS(AND(K141&gt;=1,K141&lt;=2),1,AND(K141&gt;=3,K141&lt;=4),2,AND(K141&gt;=5,K141&lt;=6),3,AND(K141&gt;=6,K141&lt;=9),4,AND(K141&gt;=10,K141&lt;=12),5)</f>
        <v>3</v>
      </c>
      <c r="O141" s="17" cm="1">
        <f t="array" ref="O141">_xlfn.IFS(AND(L141&gt;=4.1,L141&lt;=41.49),1,AND(L141&gt;=41.5,L141&lt;=78.86),2,AND(L141&gt;=78.87,L141&lt;=116.23),3,AND(L141&gt;=116.24,L141&lt;=153.6),4,AND(L141&gt;=153.61,L141&lt;=190.97),5)</f>
        <v>3</v>
      </c>
      <c r="P141" s="17">
        <f t="shared" si="2"/>
        <v>10</v>
      </c>
      <c r="Q141" s="17" t="str" cm="1">
        <f t="array" ref="Q141">_xlfn.IFS(P141&gt;=14,"Best Customers",AND(P141&gt;=10,P141&lt;14),"Loyal Customers",AND(P141&gt;=7,P141&lt;10),"Potential Customers",AND(P141&gt;=4,P141&lt;7),"Need Attention",P141&lt;4,"At Risk")</f>
        <v>Loyal Customers</v>
      </c>
    </row>
    <row r="142" spans="1:17" x14ac:dyDescent="0.35">
      <c r="A142" t="s">
        <v>259</v>
      </c>
      <c r="B142" t="s">
        <v>260</v>
      </c>
      <c r="C142" s="1">
        <v>45826.343007002317</v>
      </c>
      <c r="D142" t="s">
        <v>7</v>
      </c>
      <c r="E142">
        <v>38.15</v>
      </c>
      <c r="I142" s="17" t="s">
        <v>190</v>
      </c>
      <c r="J142" s="18">
        <v>90.656990740739275</v>
      </c>
      <c r="K142" s="17">
        <v>5</v>
      </c>
      <c r="L142" s="17">
        <v>90.62</v>
      </c>
      <c r="M142" s="17" cm="1">
        <f t="array" ref="M142">_xlfn.IFS(AND(J142&gt;=65,J142&lt;=141),5,AND(J142&gt;141,J142&lt;=213),4,AND(J142&gt;213,J142&lt;=285),3,AND(J142&gt;285,J142&lt;=357),2,AND(J142&gt;357,J142&lt;=430),1)</f>
        <v>5</v>
      </c>
      <c r="N142" s="17" cm="1">
        <f t="array" ref="N142">_xlfn.IFS(AND(K142&gt;=1,K142&lt;=2),1,AND(K142&gt;=3,K142&lt;=4),2,AND(K142&gt;=5,K142&lt;=6),3,AND(K142&gt;=6,K142&lt;=9),4,AND(K142&gt;=10,K142&lt;=12),5)</f>
        <v>3</v>
      </c>
      <c r="O142" s="17" cm="1">
        <f t="array" ref="O142">_xlfn.IFS(AND(L142&gt;=4.1,L142&lt;=41.49),1,AND(L142&gt;=41.5,L142&lt;=78.86),2,AND(L142&gt;=78.87,L142&lt;=116.23),3,AND(L142&gt;=116.24,L142&lt;=153.6),4,AND(L142&gt;=153.61,L142&lt;=190.97),5)</f>
        <v>3</v>
      </c>
      <c r="P142" s="17">
        <f t="shared" si="2"/>
        <v>11</v>
      </c>
      <c r="Q142" s="17" t="str" cm="1">
        <f t="array" ref="Q142">_xlfn.IFS(P142&gt;=14,"Best Customers",AND(P142&gt;=10,P142&lt;14),"Loyal Customers",AND(P142&gt;=7,P142&lt;10),"Potential Customers",AND(P142&gt;=4,P142&lt;7),"Need Attention",P142&lt;4,"At Risk")</f>
        <v>Loyal Customers</v>
      </c>
    </row>
    <row r="143" spans="1:17" x14ac:dyDescent="0.35">
      <c r="A143" t="s">
        <v>261</v>
      </c>
      <c r="B143" t="s">
        <v>155</v>
      </c>
      <c r="C143" s="1">
        <v>45836.343007002317</v>
      </c>
      <c r="D143" t="s">
        <v>16</v>
      </c>
      <c r="E143">
        <v>9.8000000000000007</v>
      </c>
      <c r="I143" s="17" t="s">
        <v>243</v>
      </c>
      <c r="J143" s="18">
        <v>114.65699074073927</v>
      </c>
      <c r="K143" s="17">
        <v>4</v>
      </c>
      <c r="L143" s="17">
        <v>61.65</v>
      </c>
      <c r="M143" s="17" cm="1">
        <f t="array" ref="M143">_xlfn.IFS(AND(J143&gt;=65,J143&lt;=141),5,AND(J143&gt;141,J143&lt;=213),4,AND(J143&gt;213,J143&lt;=285),3,AND(J143&gt;285,J143&lt;=357),2,AND(J143&gt;357,J143&lt;=430),1)</f>
        <v>5</v>
      </c>
      <c r="N143" s="17" cm="1">
        <f t="array" ref="N143">_xlfn.IFS(AND(K143&gt;=1,K143&lt;=2),1,AND(K143&gt;=3,K143&lt;=4),2,AND(K143&gt;=5,K143&lt;=6),3,AND(K143&gt;=6,K143&lt;=9),4,AND(K143&gt;=10,K143&lt;=12),5)</f>
        <v>2</v>
      </c>
      <c r="O143" s="17" cm="1">
        <f t="array" ref="O143">_xlfn.IFS(AND(L143&gt;=4.1,L143&lt;=41.49),1,AND(L143&gt;=41.5,L143&lt;=78.86),2,AND(L143&gt;=78.87,L143&lt;=116.23),3,AND(L143&gt;=116.24,L143&lt;=153.6),4,AND(L143&gt;=153.61,L143&lt;=190.97),5)</f>
        <v>2</v>
      </c>
      <c r="P143" s="17">
        <f t="shared" si="2"/>
        <v>9</v>
      </c>
      <c r="Q143" s="17" t="str" cm="1">
        <f t="array" ref="Q143">_xlfn.IFS(P143&gt;=14,"Best Customers",AND(P143&gt;=10,P143&lt;14),"Loyal Customers",AND(P143&gt;=7,P143&lt;10),"Potential Customers",AND(P143&gt;=4,P143&lt;7),"Need Attention",P143&lt;4,"At Risk")</f>
        <v>Potential Customers</v>
      </c>
    </row>
    <row r="144" spans="1:17" x14ac:dyDescent="0.35">
      <c r="A144" t="s">
        <v>262</v>
      </c>
      <c r="B144" t="s">
        <v>205</v>
      </c>
      <c r="C144" s="1">
        <v>45647.343007002317</v>
      </c>
      <c r="D144" t="s">
        <v>29</v>
      </c>
      <c r="E144">
        <v>25.79</v>
      </c>
      <c r="I144" s="17" t="s">
        <v>284</v>
      </c>
      <c r="J144" s="18">
        <v>315.65699074073927</v>
      </c>
      <c r="K144" s="17">
        <v>3</v>
      </c>
      <c r="L144" s="17">
        <v>90.490000000000009</v>
      </c>
      <c r="M144" s="17" cm="1">
        <f t="array" ref="M144">_xlfn.IFS(AND(J144&gt;=65,J144&lt;=141),5,AND(J144&gt;141,J144&lt;=213),4,AND(J144&gt;213,J144&lt;=285),3,AND(J144&gt;285,J144&lt;=357),2,AND(J144&gt;357,J144&lt;=430),1)</f>
        <v>2</v>
      </c>
      <c r="N144" s="17" cm="1">
        <f t="array" ref="N144">_xlfn.IFS(AND(K144&gt;=1,K144&lt;=2),1,AND(K144&gt;=3,K144&lt;=4),2,AND(K144&gt;=5,K144&lt;=6),3,AND(K144&gt;=6,K144&lt;=9),4,AND(K144&gt;=10,K144&lt;=12),5)</f>
        <v>2</v>
      </c>
      <c r="O144" s="17" cm="1">
        <f t="array" ref="O144">_xlfn.IFS(AND(L144&gt;=4.1,L144&lt;=41.49),1,AND(L144&gt;=41.5,L144&lt;=78.86),2,AND(L144&gt;=78.87,L144&lt;=116.23),3,AND(L144&gt;=116.24,L144&lt;=153.6),4,AND(L144&gt;=153.61,L144&lt;=190.97),5)</f>
        <v>3</v>
      </c>
      <c r="P144" s="17">
        <f t="shared" si="2"/>
        <v>7</v>
      </c>
      <c r="Q144" s="17" t="str" cm="1">
        <f t="array" ref="Q144">_xlfn.IFS(P144&gt;=14,"Best Customers",AND(P144&gt;=10,P144&lt;14),"Loyal Customers",AND(P144&gt;=7,P144&lt;10),"Potential Customers",AND(P144&gt;=4,P144&lt;7),"Need Attention",P144&lt;4,"At Risk")</f>
        <v>Potential Customers</v>
      </c>
    </row>
    <row r="145" spans="1:17" x14ac:dyDescent="0.35">
      <c r="A145" t="s">
        <v>263</v>
      </c>
      <c r="B145" t="s">
        <v>264</v>
      </c>
      <c r="C145" s="1">
        <v>45691.343007002317</v>
      </c>
      <c r="D145" t="s">
        <v>13</v>
      </c>
      <c r="E145">
        <v>13.24</v>
      </c>
      <c r="I145" s="17" t="s">
        <v>385</v>
      </c>
      <c r="J145" s="18">
        <v>231.65699074073927</v>
      </c>
      <c r="K145" s="17">
        <v>2</v>
      </c>
      <c r="L145" s="17">
        <v>21.74</v>
      </c>
      <c r="M145" s="17" cm="1">
        <f t="array" ref="M145">_xlfn.IFS(AND(J145&gt;=65,J145&lt;=141),5,AND(J145&gt;141,J145&lt;=213),4,AND(J145&gt;213,J145&lt;=285),3,AND(J145&gt;285,J145&lt;=357),2,AND(J145&gt;357,J145&lt;=430),1)</f>
        <v>3</v>
      </c>
      <c r="N145" s="17" cm="1">
        <f t="array" ref="N145">_xlfn.IFS(AND(K145&gt;=1,K145&lt;=2),1,AND(K145&gt;=3,K145&lt;=4),2,AND(K145&gt;=5,K145&lt;=6),3,AND(K145&gt;=6,K145&lt;=9),4,AND(K145&gt;=10,K145&lt;=12),5)</f>
        <v>1</v>
      </c>
      <c r="O145" s="17" cm="1">
        <f t="array" ref="O145">_xlfn.IFS(AND(L145&gt;=4.1,L145&lt;=41.49),1,AND(L145&gt;=41.5,L145&lt;=78.86),2,AND(L145&gt;=78.87,L145&lt;=116.23),3,AND(L145&gt;=116.24,L145&lt;=153.6),4,AND(L145&gt;=153.61,L145&lt;=190.97),5)</f>
        <v>1</v>
      </c>
      <c r="P145" s="17">
        <f t="shared" si="2"/>
        <v>5</v>
      </c>
      <c r="Q145" s="17" t="str" cm="1">
        <f t="array" ref="Q145">_xlfn.IFS(P145&gt;=14,"Best Customers",AND(P145&gt;=10,P145&lt;14),"Loyal Customers",AND(P145&gt;=7,P145&lt;10),"Potential Customers",AND(P145&gt;=4,P145&lt;7),"Need Attention",P145&lt;4,"At Risk")</f>
        <v>Need Attention</v>
      </c>
    </row>
    <row r="146" spans="1:17" x14ac:dyDescent="0.35">
      <c r="A146" t="s">
        <v>265</v>
      </c>
      <c r="B146" t="s">
        <v>266</v>
      </c>
      <c r="C146" s="1">
        <v>45817.343007002317</v>
      </c>
      <c r="D146" t="s">
        <v>7</v>
      </c>
      <c r="E146">
        <v>33.58</v>
      </c>
      <c r="I146" s="17" t="s">
        <v>272</v>
      </c>
      <c r="J146" s="18">
        <v>151.65699074073927</v>
      </c>
      <c r="K146" s="17">
        <v>6</v>
      </c>
      <c r="L146" s="17">
        <v>92.440000000000012</v>
      </c>
      <c r="M146" s="17" cm="1">
        <f t="array" ref="M146">_xlfn.IFS(AND(J146&gt;=65,J146&lt;=141),5,AND(J146&gt;141,J146&lt;=213),4,AND(J146&gt;213,J146&lt;=285),3,AND(J146&gt;285,J146&lt;=357),2,AND(J146&gt;357,J146&lt;=430),1)</f>
        <v>4</v>
      </c>
      <c r="N146" s="17" cm="1">
        <f t="array" ref="N146">_xlfn.IFS(AND(K146&gt;=1,K146&lt;=2),1,AND(K146&gt;=3,K146&lt;=4),2,AND(K146&gt;=5,K146&lt;=6),3,AND(K146&gt;=6,K146&lt;=9),4,AND(K146&gt;=10,K146&lt;=12),5)</f>
        <v>3</v>
      </c>
      <c r="O146" s="17" cm="1">
        <f t="array" ref="O146">_xlfn.IFS(AND(L146&gt;=4.1,L146&lt;=41.49),1,AND(L146&gt;=41.5,L146&lt;=78.86),2,AND(L146&gt;=78.87,L146&lt;=116.23),3,AND(L146&gt;=116.24,L146&lt;=153.6),4,AND(L146&gt;=153.61,L146&lt;=190.97),5)</f>
        <v>3</v>
      </c>
      <c r="P146" s="17">
        <f t="shared" si="2"/>
        <v>10</v>
      </c>
      <c r="Q146" s="17" t="str" cm="1">
        <f t="array" ref="Q146">_xlfn.IFS(P146&gt;=14,"Best Customers",AND(P146&gt;=10,P146&lt;14),"Loyal Customers",AND(P146&gt;=7,P146&lt;10),"Potential Customers",AND(P146&gt;=4,P146&lt;7),"Need Attention",P146&lt;4,"At Risk")</f>
        <v>Loyal Customers</v>
      </c>
    </row>
    <row r="147" spans="1:17" x14ac:dyDescent="0.35">
      <c r="A147" t="s">
        <v>267</v>
      </c>
      <c r="B147" t="s">
        <v>268</v>
      </c>
      <c r="C147" s="1">
        <v>45826.343007002317</v>
      </c>
      <c r="D147" t="s">
        <v>13</v>
      </c>
      <c r="E147">
        <v>13.87</v>
      </c>
      <c r="I147" s="17" t="s">
        <v>110</v>
      </c>
      <c r="J147" s="18">
        <v>159.65699074073927</v>
      </c>
      <c r="K147" s="17">
        <v>6</v>
      </c>
      <c r="L147" s="17">
        <v>92.68</v>
      </c>
      <c r="M147" s="17" cm="1">
        <f t="array" ref="M147">_xlfn.IFS(AND(J147&gt;=65,J147&lt;=141),5,AND(J147&gt;141,J147&lt;=213),4,AND(J147&gt;213,J147&lt;=285),3,AND(J147&gt;285,J147&lt;=357),2,AND(J147&gt;357,J147&lt;=430),1)</f>
        <v>4</v>
      </c>
      <c r="N147" s="17" cm="1">
        <f t="array" ref="N147">_xlfn.IFS(AND(K147&gt;=1,K147&lt;=2),1,AND(K147&gt;=3,K147&lt;=4),2,AND(K147&gt;=5,K147&lt;=6),3,AND(K147&gt;=6,K147&lt;=9),4,AND(K147&gt;=10,K147&lt;=12),5)</f>
        <v>3</v>
      </c>
      <c r="O147" s="17" cm="1">
        <f t="array" ref="O147">_xlfn.IFS(AND(L147&gt;=4.1,L147&lt;=41.49),1,AND(L147&gt;=41.5,L147&lt;=78.86),2,AND(L147&gt;=78.87,L147&lt;=116.23),3,AND(L147&gt;=116.24,L147&lt;=153.6),4,AND(L147&gt;=153.61,L147&lt;=190.97),5)</f>
        <v>3</v>
      </c>
      <c r="P147" s="17">
        <f t="shared" si="2"/>
        <v>10</v>
      </c>
      <c r="Q147" s="17" t="str" cm="1">
        <f t="array" ref="Q147">_xlfn.IFS(P147&gt;=14,"Best Customers",AND(P147&gt;=10,P147&lt;14),"Loyal Customers",AND(P147&gt;=7,P147&lt;10),"Potential Customers",AND(P147&gt;=4,P147&lt;7),"Need Attention",P147&lt;4,"At Risk")</f>
        <v>Loyal Customers</v>
      </c>
    </row>
    <row r="148" spans="1:17" x14ac:dyDescent="0.35">
      <c r="A148" t="s">
        <v>269</v>
      </c>
      <c r="B148" t="s">
        <v>100</v>
      </c>
      <c r="C148" s="1">
        <v>45832.343007002317</v>
      </c>
      <c r="D148" t="s">
        <v>13</v>
      </c>
      <c r="E148">
        <v>9.66</v>
      </c>
      <c r="I148" s="17" t="s">
        <v>250</v>
      </c>
      <c r="J148" s="18">
        <v>129.65699074073927</v>
      </c>
      <c r="K148" s="17">
        <v>7</v>
      </c>
      <c r="L148" s="17">
        <v>88.160000000000011</v>
      </c>
      <c r="M148" s="17" cm="1">
        <f t="array" ref="M148">_xlfn.IFS(AND(J148&gt;=65,J148&lt;=141),5,AND(J148&gt;141,J148&lt;=213),4,AND(J148&gt;213,J148&lt;=285),3,AND(J148&gt;285,J148&lt;=357),2,AND(J148&gt;357,J148&lt;=430),1)</f>
        <v>5</v>
      </c>
      <c r="N148" s="17" cm="1">
        <f t="array" ref="N148">_xlfn.IFS(AND(K148&gt;=1,K148&lt;=2),1,AND(K148&gt;=3,K148&lt;=4),2,AND(K148&gt;=5,K148&lt;=6),3,AND(K148&gt;=6,K148&lt;=9),4,AND(K148&gt;=10,K148&lt;=12),5)</f>
        <v>4</v>
      </c>
      <c r="O148" s="17" cm="1">
        <f t="array" ref="O148">_xlfn.IFS(AND(L148&gt;=4.1,L148&lt;=41.49),1,AND(L148&gt;=41.5,L148&lt;=78.86),2,AND(L148&gt;=78.87,L148&lt;=116.23),3,AND(L148&gt;=116.24,L148&lt;=153.6),4,AND(L148&gt;=153.61,L148&lt;=190.97),5)</f>
        <v>3</v>
      </c>
      <c r="P148" s="17">
        <f t="shared" si="2"/>
        <v>12</v>
      </c>
      <c r="Q148" s="17" t="str" cm="1">
        <f t="array" ref="Q148">_xlfn.IFS(P148&gt;=14,"Best Customers",AND(P148&gt;=10,P148&lt;14),"Loyal Customers",AND(P148&gt;=7,P148&lt;10),"Potential Customers",AND(P148&gt;=4,P148&lt;7),"Need Attention",P148&lt;4,"At Risk")</f>
        <v>Loyal Customers</v>
      </c>
    </row>
    <row r="149" spans="1:17" x14ac:dyDescent="0.35">
      <c r="A149" t="s">
        <v>270</v>
      </c>
      <c r="B149" t="s">
        <v>238</v>
      </c>
      <c r="C149" s="1">
        <v>45738.343007002317</v>
      </c>
      <c r="D149" t="s">
        <v>13</v>
      </c>
      <c r="E149">
        <v>11.38</v>
      </c>
      <c r="I149" s="17" t="s">
        <v>776</v>
      </c>
      <c r="J149" s="18">
        <v>181.65699074073927</v>
      </c>
      <c r="K149" s="17">
        <v>2</v>
      </c>
      <c r="L149" s="17">
        <v>33.090000000000003</v>
      </c>
      <c r="M149" s="17" cm="1">
        <f t="array" ref="M149">_xlfn.IFS(AND(J149&gt;=65,J149&lt;=141),5,AND(J149&gt;141,J149&lt;=213),4,AND(J149&gt;213,J149&lt;=285),3,AND(J149&gt;285,J149&lt;=357),2,AND(J149&gt;357,J149&lt;=430),1)</f>
        <v>4</v>
      </c>
      <c r="N149" s="17" cm="1">
        <f t="array" ref="N149">_xlfn.IFS(AND(K149&gt;=1,K149&lt;=2),1,AND(K149&gt;=3,K149&lt;=4),2,AND(K149&gt;=5,K149&lt;=6),3,AND(K149&gt;=6,K149&lt;=9),4,AND(K149&gt;=10,K149&lt;=12),5)</f>
        <v>1</v>
      </c>
      <c r="O149" s="17" cm="1">
        <f t="array" ref="O149">_xlfn.IFS(AND(L149&gt;=4.1,L149&lt;=41.49),1,AND(L149&gt;=41.5,L149&lt;=78.86),2,AND(L149&gt;=78.87,L149&lt;=116.23),3,AND(L149&gt;=116.24,L149&lt;=153.6),4,AND(L149&gt;=153.61,L149&lt;=190.97),5)</f>
        <v>1</v>
      </c>
      <c r="P149" s="17">
        <f t="shared" si="2"/>
        <v>6</v>
      </c>
      <c r="Q149" s="17" t="str" cm="1">
        <f t="array" ref="Q149">_xlfn.IFS(P149&gt;=14,"Best Customers",AND(P149&gt;=10,P149&lt;14),"Loyal Customers",AND(P149&gt;=7,P149&lt;10),"Potential Customers",AND(P149&gt;=4,P149&lt;7),"Need Attention",P149&lt;4,"At Risk")</f>
        <v>Need Attention</v>
      </c>
    </row>
    <row r="150" spans="1:17" x14ac:dyDescent="0.35">
      <c r="A150" t="s">
        <v>271</v>
      </c>
      <c r="B150" t="s">
        <v>272</v>
      </c>
      <c r="C150" s="1">
        <v>45766.343007002317</v>
      </c>
      <c r="D150" t="s">
        <v>29</v>
      </c>
      <c r="E150">
        <v>20.27</v>
      </c>
      <c r="I150" s="17" t="s">
        <v>287</v>
      </c>
      <c r="J150" s="18">
        <v>333.65699074073927</v>
      </c>
      <c r="K150" s="17">
        <v>3</v>
      </c>
      <c r="L150" s="17">
        <v>72.319999999999993</v>
      </c>
      <c r="M150" s="17" cm="1">
        <f t="array" ref="M150">_xlfn.IFS(AND(J150&gt;=65,J150&lt;=141),5,AND(J150&gt;141,J150&lt;=213),4,AND(J150&gt;213,J150&lt;=285),3,AND(J150&gt;285,J150&lt;=357),2,AND(J150&gt;357,J150&lt;=430),1)</f>
        <v>2</v>
      </c>
      <c r="N150" s="17" cm="1">
        <f t="array" ref="N150">_xlfn.IFS(AND(K150&gt;=1,K150&lt;=2),1,AND(K150&gt;=3,K150&lt;=4),2,AND(K150&gt;=5,K150&lt;=6),3,AND(K150&gt;=6,K150&lt;=9),4,AND(K150&gt;=10,K150&lt;=12),5)</f>
        <v>2</v>
      </c>
      <c r="O150" s="17" cm="1">
        <f t="array" ref="O150">_xlfn.IFS(AND(L150&gt;=4.1,L150&lt;=41.49),1,AND(L150&gt;=41.5,L150&lt;=78.86),2,AND(L150&gt;=78.87,L150&lt;=116.23),3,AND(L150&gt;=116.24,L150&lt;=153.6),4,AND(L150&gt;=153.61,L150&lt;=190.97),5)</f>
        <v>2</v>
      </c>
      <c r="P150" s="17">
        <f t="shared" si="2"/>
        <v>6</v>
      </c>
      <c r="Q150" s="17" t="str" cm="1">
        <f t="array" ref="Q150">_xlfn.IFS(P150&gt;=14,"Best Customers",AND(P150&gt;=10,P150&lt;14),"Loyal Customers",AND(P150&gt;=7,P150&lt;10),"Potential Customers",AND(P150&gt;=4,P150&lt;7),"Need Attention",P150&lt;4,"At Risk")</f>
        <v>Need Attention</v>
      </c>
    </row>
    <row r="151" spans="1:17" x14ac:dyDescent="0.35">
      <c r="A151" t="s">
        <v>273</v>
      </c>
      <c r="B151" t="s">
        <v>256</v>
      </c>
      <c r="C151" s="1">
        <v>45624.343007002317</v>
      </c>
      <c r="D151" t="s">
        <v>50</v>
      </c>
      <c r="E151">
        <v>4.79</v>
      </c>
      <c r="I151" s="17" t="s">
        <v>132</v>
      </c>
      <c r="J151" s="18">
        <v>117.65699074073927</v>
      </c>
      <c r="K151" s="17">
        <v>7</v>
      </c>
      <c r="L151" s="17">
        <v>132.82999999999998</v>
      </c>
      <c r="M151" s="17" cm="1">
        <f t="array" ref="M151">_xlfn.IFS(AND(J151&gt;=65,J151&lt;=141),5,AND(J151&gt;141,J151&lt;=213),4,AND(J151&gt;213,J151&lt;=285),3,AND(J151&gt;285,J151&lt;=357),2,AND(J151&gt;357,J151&lt;=430),1)</f>
        <v>5</v>
      </c>
      <c r="N151" s="17" cm="1">
        <f t="array" ref="N151">_xlfn.IFS(AND(K151&gt;=1,K151&lt;=2),1,AND(K151&gt;=3,K151&lt;=4),2,AND(K151&gt;=5,K151&lt;=6),3,AND(K151&gt;=6,K151&lt;=9),4,AND(K151&gt;=10,K151&lt;=12),5)</f>
        <v>4</v>
      </c>
      <c r="O151" s="17" cm="1">
        <f t="array" ref="O151">_xlfn.IFS(AND(L151&gt;=4.1,L151&lt;=41.49),1,AND(L151&gt;=41.5,L151&lt;=78.86),2,AND(L151&gt;=78.87,L151&lt;=116.23),3,AND(L151&gt;=116.24,L151&lt;=153.6),4,AND(L151&gt;=153.61,L151&lt;=190.97),5)</f>
        <v>4</v>
      </c>
      <c r="P151" s="17">
        <f t="shared" si="2"/>
        <v>13</v>
      </c>
      <c r="Q151" s="17" t="str" cm="1">
        <f t="array" ref="Q151">_xlfn.IFS(P151&gt;=14,"Best Customers",AND(P151&gt;=10,P151&lt;14),"Loyal Customers",AND(P151&gt;=7,P151&lt;10),"Potential Customers",AND(P151&gt;=4,P151&lt;7),"Need Attention",P151&lt;4,"At Risk")</f>
        <v>Loyal Customers</v>
      </c>
    </row>
    <row r="152" spans="1:17" x14ac:dyDescent="0.35">
      <c r="A152" t="s">
        <v>274</v>
      </c>
      <c r="B152" t="s">
        <v>275</v>
      </c>
      <c r="C152" s="1">
        <v>45631.343007002317</v>
      </c>
      <c r="D152" t="s">
        <v>13</v>
      </c>
      <c r="E152">
        <v>12.12</v>
      </c>
      <c r="I152" s="17" t="s">
        <v>309</v>
      </c>
      <c r="J152" s="18">
        <v>123.65699074073927</v>
      </c>
      <c r="K152" s="17">
        <v>5</v>
      </c>
      <c r="L152" s="17">
        <v>77.510000000000005</v>
      </c>
      <c r="M152" s="17" cm="1">
        <f t="array" ref="M152">_xlfn.IFS(AND(J152&gt;=65,J152&lt;=141),5,AND(J152&gt;141,J152&lt;=213),4,AND(J152&gt;213,J152&lt;=285),3,AND(J152&gt;285,J152&lt;=357),2,AND(J152&gt;357,J152&lt;=430),1)</f>
        <v>5</v>
      </c>
      <c r="N152" s="17" cm="1">
        <f t="array" ref="N152">_xlfn.IFS(AND(K152&gt;=1,K152&lt;=2),1,AND(K152&gt;=3,K152&lt;=4),2,AND(K152&gt;=5,K152&lt;=6),3,AND(K152&gt;=6,K152&lt;=9),4,AND(K152&gt;=10,K152&lt;=12),5)</f>
        <v>3</v>
      </c>
      <c r="O152" s="17" cm="1">
        <f t="array" ref="O152">_xlfn.IFS(AND(L152&gt;=4.1,L152&lt;=41.49),1,AND(L152&gt;=41.5,L152&lt;=78.86),2,AND(L152&gt;=78.87,L152&lt;=116.23),3,AND(L152&gt;=116.24,L152&lt;=153.6),4,AND(L152&gt;=153.61,L152&lt;=190.97),5)</f>
        <v>2</v>
      </c>
      <c r="P152" s="17">
        <f t="shared" si="2"/>
        <v>10</v>
      </c>
      <c r="Q152" s="17" t="str" cm="1">
        <f t="array" ref="Q152">_xlfn.IFS(P152&gt;=14,"Best Customers",AND(P152&gt;=10,P152&lt;14),"Loyal Customers",AND(P152&gt;=7,P152&lt;10),"Potential Customers",AND(P152&gt;=4,P152&lt;7),"Need Attention",P152&lt;4,"At Risk")</f>
        <v>Loyal Customers</v>
      </c>
    </row>
    <row r="153" spans="1:17" x14ac:dyDescent="0.35">
      <c r="A153" t="s">
        <v>276</v>
      </c>
      <c r="B153" t="s">
        <v>120</v>
      </c>
      <c r="C153" s="1">
        <v>45608.343007002317</v>
      </c>
      <c r="D153" t="s">
        <v>10</v>
      </c>
      <c r="E153">
        <v>15.07</v>
      </c>
      <c r="I153" s="17" t="s">
        <v>157</v>
      </c>
      <c r="J153" s="18">
        <v>113.65699074073927</v>
      </c>
      <c r="K153" s="17">
        <v>5</v>
      </c>
      <c r="L153" s="17">
        <v>85.34</v>
      </c>
      <c r="M153" s="17" cm="1">
        <f t="array" ref="M153">_xlfn.IFS(AND(J153&gt;=65,J153&lt;=141),5,AND(J153&gt;141,J153&lt;=213),4,AND(J153&gt;213,J153&lt;=285),3,AND(J153&gt;285,J153&lt;=357),2,AND(J153&gt;357,J153&lt;=430),1)</f>
        <v>5</v>
      </c>
      <c r="N153" s="17" cm="1">
        <f t="array" ref="N153">_xlfn.IFS(AND(K153&gt;=1,K153&lt;=2),1,AND(K153&gt;=3,K153&lt;=4),2,AND(K153&gt;=5,K153&lt;=6),3,AND(K153&gt;=6,K153&lt;=9),4,AND(K153&gt;=10,K153&lt;=12),5)</f>
        <v>3</v>
      </c>
      <c r="O153" s="17" cm="1">
        <f t="array" ref="O153">_xlfn.IFS(AND(L153&gt;=4.1,L153&lt;=41.49),1,AND(L153&gt;=41.5,L153&lt;=78.86),2,AND(L153&gt;=78.87,L153&lt;=116.23),3,AND(L153&gt;=116.24,L153&lt;=153.6),4,AND(L153&gt;=153.61,L153&lt;=190.97),5)</f>
        <v>3</v>
      </c>
      <c r="P153" s="17">
        <f t="shared" si="2"/>
        <v>11</v>
      </c>
      <c r="Q153" s="17" t="str" cm="1">
        <f t="array" ref="Q153">_xlfn.IFS(P153&gt;=14,"Best Customers",AND(P153&gt;=10,P153&lt;14),"Loyal Customers",AND(P153&gt;=7,P153&lt;10),"Potential Customers",AND(P153&gt;=4,P153&lt;7),"Need Attention",P153&lt;4,"At Risk")</f>
        <v>Loyal Customers</v>
      </c>
    </row>
    <row r="154" spans="1:17" x14ac:dyDescent="0.35">
      <c r="A154" t="s">
        <v>277</v>
      </c>
      <c r="B154" t="s">
        <v>9</v>
      </c>
      <c r="C154" s="1">
        <v>45755.343007002317</v>
      </c>
      <c r="D154" t="s">
        <v>16</v>
      </c>
      <c r="E154">
        <v>8.66</v>
      </c>
      <c r="I154" s="17" t="s">
        <v>713</v>
      </c>
      <c r="J154" s="18">
        <v>78.656990740739275</v>
      </c>
      <c r="K154" s="17">
        <v>4</v>
      </c>
      <c r="L154" s="17">
        <v>59.02</v>
      </c>
      <c r="M154" s="17" cm="1">
        <f t="array" ref="M154">_xlfn.IFS(AND(J154&gt;=65,J154&lt;=141),5,AND(J154&gt;141,J154&lt;=213),4,AND(J154&gt;213,J154&lt;=285),3,AND(J154&gt;285,J154&lt;=357),2,AND(J154&gt;357,J154&lt;=430),1)</f>
        <v>5</v>
      </c>
      <c r="N154" s="17" cm="1">
        <f t="array" ref="N154">_xlfn.IFS(AND(K154&gt;=1,K154&lt;=2),1,AND(K154&gt;=3,K154&lt;=4),2,AND(K154&gt;=5,K154&lt;=6),3,AND(K154&gt;=6,K154&lt;=9),4,AND(K154&gt;=10,K154&lt;=12),5)</f>
        <v>2</v>
      </c>
      <c r="O154" s="17" cm="1">
        <f t="array" ref="O154">_xlfn.IFS(AND(L154&gt;=4.1,L154&lt;=41.49),1,AND(L154&gt;=41.5,L154&lt;=78.86),2,AND(L154&gt;=78.87,L154&lt;=116.23),3,AND(L154&gt;=116.24,L154&lt;=153.6),4,AND(L154&gt;=153.61,L154&lt;=190.97),5)</f>
        <v>2</v>
      </c>
      <c r="P154" s="17">
        <f t="shared" si="2"/>
        <v>9</v>
      </c>
      <c r="Q154" s="17" t="str" cm="1">
        <f t="array" ref="Q154">_xlfn.IFS(P154&gt;=14,"Best Customers",AND(P154&gt;=10,P154&lt;14),"Loyal Customers",AND(P154&gt;=7,P154&lt;10),"Potential Customers",AND(P154&gt;=4,P154&lt;7),"Need Attention",P154&lt;4,"At Risk")</f>
        <v>Potential Customers</v>
      </c>
    </row>
    <row r="155" spans="1:17" x14ac:dyDescent="0.35">
      <c r="A155" t="s">
        <v>278</v>
      </c>
      <c r="B155" t="s">
        <v>279</v>
      </c>
      <c r="C155" s="1">
        <v>45922.343007002317</v>
      </c>
      <c r="D155" t="s">
        <v>29</v>
      </c>
      <c r="E155">
        <v>26.46</v>
      </c>
      <c r="I155" s="17" t="s">
        <v>9</v>
      </c>
      <c r="J155" s="18">
        <v>85.656990740739275</v>
      </c>
      <c r="K155" s="17">
        <v>8</v>
      </c>
      <c r="L155" s="17">
        <v>103.61000000000001</v>
      </c>
      <c r="M155" s="17" cm="1">
        <f t="array" ref="M155">_xlfn.IFS(AND(J155&gt;=65,J155&lt;=141),5,AND(J155&gt;141,J155&lt;=213),4,AND(J155&gt;213,J155&lt;=285),3,AND(J155&gt;285,J155&lt;=357),2,AND(J155&gt;357,J155&lt;=430),1)</f>
        <v>5</v>
      </c>
      <c r="N155" s="17" cm="1">
        <f t="array" ref="N155">_xlfn.IFS(AND(K155&gt;=1,K155&lt;=2),1,AND(K155&gt;=3,K155&lt;=4),2,AND(K155&gt;=5,K155&lt;=6),3,AND(K155&gt;=6,K155&lt;=9),4,AND(K155&gt;=10,K155&lt;=12),5)</f>
        <v>4</v>
      </c>
      <c r="O155" s="17" cm="1">
        <f t="array" ref="O155">_xlfn.IFS(AND(L155&gt;=4.1,L155&lt;=41.49),1,AND(L155&gt;=41.5,L155&lt;=78.86),2,AND(L155&gt;=78.87,L155&lt;=116.23),3,AND(L155&gt;=116.24,L155&lt;=153.6),4,AND(L155&gt;=153.61,L155&lt;=190.97),5)</f>
        <v>3</v>
      </c>
      <c r="P155" s="17">
        <f t="shared" si="2"/>
        <v>12</v>
      </c>
      <c r="Q155" s="17" t="str" cm="1">
        <f t="array" ref="Q155">_xlfn.IFS(P155&gt;=14,"Best Customers",AND(P155&gt;=10,P155&lt;14),"Loyal Customers",AND(P155&gt;=7,P155&lt;10),"Potential Customers",AND(P155&gt;=4,P155&lt;7),"Need Attention",P155&lt;4,"At Risk")</f>
        <v>Loyal Customers</v>
      </c>
    </row>
    <row r="156" spans="1:17" x14ac:dyDescent="0.35">
      <c r="A156" t="s">
        <v>280</v>
      </c>
      <c r="B156" t="s">
        <v>281</v>
      </c>
      <c r="C156" s="1">
        <v>45782.343007002317</v>
      </c>
      <c r="D156" t="s">
        <v>7</v>
      </c>
      <c r="E156">
        <v>32.72</v>
      </c>
      <c r="I156" s="17" t="s">
        <v>342</v>
      </c>
      <c r="J156" s="18">
        <v>201.65699074073927</v>
      </c>
      <c r="K156" s="17">
        <v>2</v>
      </c>
      <c r="L156" s="17">
        <v>14.67</v>
      </c>
      <c r="M156" s="17" cm="1">
        <f t="array" ref="M156">_xlfn.IFS(AND(J156&gt;=65,J156&lt;=141),5,AND(J156&gt;141,J156&lt;=213),4,AND(J156&gt;213,J156&lt;=285),3,AND(J156&gt;285,J156&lt;=357),2,AND(J156&gt;357,J156&lt;=430),1)</f>
        <v>4</v>
      </c>
      <c r="N156" s="17" cm="1">
        <f t="array" ref="N156">_xlfn.IFS(AND(K156&gt;=1,K156&lt;=2),1,AND(K156&gt;=3,K156&lt;=4),2,AND(K156&gt;=5,K156&lt;=6),3,AND(K156&gt;=6,K156&lt;=9),4,AND(K156&gt;=10,K156&lt;=12),5)</f>
        <v>1</v>
      </c>
      <c r="O156" s="17" cm="1">
        <f t="array" ref="O156">_xlfn.IFS(AND(L156&gt;=4.1,L156&lt;=41.49),1,AND(L156&gt;=41.5,L156&lt;=78.86),2,AND(L156&gt;=78.87,L156&lt;=116.23),3,AND(L156&gt;=116.24,L156&lt;=153.6),4,AND(L156&gt;=153.61,L156&lt;=190.97),5)</f>
        <v>1</v>
      </c>
      <c r="P156" s="17">
        <f t="shared" si="2"/>
        <v>6</v>
      </c>
      <c r="Q156" s="17" t="str" cm="1">
        <f t="array" ref="Q156">_xlfn.IFS(P156&gt;=14,"Best Customers",AND(P156&gt;=10,P156&lt;14),"Loyal Customers",AND(P156&gt;=7,P156&lt;10),"Potential Customers",AND(P156&gt;=4,P156&lt;7),"Need Attention",P156&lt;4,"At Risk")</f>
        <v>Need Attention</v>
      </c>
    </row>
    <row r="157" spans="1:17" x14ac:dyDescent="0.35">
      <c r="A157" t="s">
        <v>282</v>
      </c>
      <c r="B157" t="s">
        <v>106</v>
      </c>
      <c r="C157" s="1">
        <v>45838.343007002317</v>
      </c>
      <c r="D157" t="s">
        <v>29</v>
      </c>
      <c r="E157">
        <v>27.62</v>
      </c>
      <c r="I157" s="17" t="s">
        <v>809</v>
      </c>
      <c r="J157" s="18">
        <v>283.65699074073927</v>
      </c>
      <c r="K157" s="17">
        <v>3</v>
      </c>
      <c r="L157" s="17">
        <v>29.840000000000003</v>
      </c>
      <c r="M157" s="17" cm="1">
        <f t="array" ref="M157">_xlfn.IFS(AND(J157&gt;=65,J157&lt;=141),5,AND(J157&gt;141,J157&lt;=213),4,AND(J157&gt;213,J157&lt;=285),3,AND(J157&gt;285,J157&lt;=357),2,AND(J157&gt;357,J157&lt;=430),1)</f>
        <v>3</v>
      </c>
      <c r="N157" s="17" cm="1">
        <f t="array" ref="N157">_xlfn.IFS(AND(K157&gt;=1,K157&lt;=2),1,AND(K157&gt;=3,K157&lt;=4),2,AND(K157&gt;=5,K157&lt;=6),3,AND(K157&gt;=6,K157&lt;=9),4,AND(K157&gt;=10,K157&lt;=12),5)</f>
        <v>2</v>
      </c>
      <c r="O157" s="17" cm="1">
        <f t="array" ref="O157">_xlfn.IFS(AND(L157&gt;=4.1,L157&lt;=41.49),1,AND(L157&gt;=41.5,L157&lt;=78.86),2,AND(L157&gt;=78.87,L157&lt;=116.23),3,AND(L157&gt;=116.24,L157&lt;=153.6),4,AND(L157&gt;=153.61,L157&lt;=190.97),5)</f>
        <v>1</v>
      </c>
      <c r="P157" s="17">
        <f t="shared" si="2"/>
        <v>6</v>
      </c>
      <c r="Q157" s="17" t="str" cm="1">
        <f t="array" ref="Q157">_xlfn.IFS(P157&gt;=14,"Best Customers",AND(P157&gt;=10,P157&lt;14),"Loyal Customers",AND(P157&gt;=7,P157&lt;10),"Potential Customers",AND(P157&gt;=4,P157&lt;7),"Need Attention",P157&lt;4,"At Risk")</f>
        <v>Need Attention</v>
      </c>
    </row>
    <row r="158" spans="1:17" x14ac:dyDescent="0.35">
      <c r="A158" t="s">
        <v>283</v>
      </c>
      <c r="B158" t="s">
        <v>284</v>
      </c>
      <c r="C158" s="1">
        <v>45681.343007002317</v>
      </c>
      <c r="D158" t="s">
        <v>7</v>
      </c>
      <c r="E158">
        <v>47.15</v>
      </c>
      <c r="I158" s="17" t="s">
        <v>511</v>
      </c>
      <c r="J158" s="18">
        <v>169.65699074073927</v>
      </c>
      <c r="K158" s="17">
        <v>4</v>
      </c>
      <c r="L158" s="17">
        <v>52.29</v>
      </c>
      <c r="M158" s="17" cm="1">
        <f t="array" ref="M158">_xlfn.IFS(AND(J158&gt;=65,J158&lt;=141),5,AND(J158&gt;141,J158&lt;=213),4,AND(J158&gt;213,J158&lt;=285),3,AND(J158&gt;285,J158&lt;=357),2,AND(J158&gt;357,J158&lt;=430),1)</f>
        <v>4</v>
      </c>
      <c r="N158" s="17" cm="1">
        <f t="array" ref="N158">_xlfn.IFS(AND(K158&gt;=1,K158&lt;=2),1,AND(K158&gt;=3,K158&lt;=4),2,AND(K158&gt;=5,K158&lt;=6),3,AND(K158&gt;=6,K158&lt;=9),4,AND(K158&gt;=10,K158&lt;=12),5)</f>
        <v>2</v>
      </c>
      <c r="O158" s="17" cm="1">
        <f t="array" ref="O158">_xlfn.IFS(AND(L158&gt;=4.1,L158&lt;=41.49),1,AND(L158&gt;=41.5,L158&lt;=78.86),2,AND(L158&gt;=78.87,L158&lt;=116.23),3,AND(L158&gt;=116.24,L158&lt;=153.6),4,AND(L158&gt;=153.61,L158&lt;=190.97),5)</f>
        <v>2</v>
      </c>
      <c r="P158" s="17">
        <f t="shared" si="2"/>
        <v>8</v>
      </c>
      <c r="Q158" s="17" t="str" cm="1">
        <f t="array" ref="Q158">_xlfn.IFS(P158&gt;=14,"Best Customers",AND(P158&gt;=10,P158&lt;14),"Loyal Customers",AND(P158&gt;=7,P158&lt;10),"Potential Customers",AND(P158&gt;=4,P158&lt;7),"Need Attention",P158&lt;4,"At Risk")</f>
        <v>Potential Customers</v>
      </c>
    </row>
    <row r="159" spans="1:17" x14ac:dyDescent="0.35">
      <c r="A159" t="s">
        <v>285</v>
      </c>
      <c r="B159" t="s">
        <v>250</v>
      </c>
      <c r="C159" s="1">
        <v>45879.343007002317</v>
      </c>
      <c r="D159" t="s">
        <v>29</v>
      </c>
      <c r="E159">
        <v>23.4</v>
      </c>
      <c r="I159" s="17" t="s">
        <v>74</v>
      </c>
      <c r="J159" s="18">
        <v>187.65699074073927</v>
      </c>
      <c r="K159" s="17">
        <v>4</v>
      </c>
      <c r="L159" s="17">
        <v>85.34</v>
      </c>
      <c r="M159" s="17" cm="1">
        <f t="array" ref="M159">_xlfn.IFS(AND(J159&gt;=65,J159&lt;=141),5,AND(J159&gt;141,J159&lt;=213),4,AND(J159&gt;213,J159&lt;=285),3,AND(J159&gt;285,J159&lt;=357),2,AND(J159&gt;357,J159&lt;=430),1)</f>
        <v>4</v>
      </c>
      <c r="N159" s="17" cm="1">
        <f t="array" ref="N159">_xlfn.IFS(AND(K159&gt;=1,K159&lt;=2),1,AND(K159&gt;=3,K159&lt;=4),2,AND(K159&gt;=5,K159&lt;=6),3,AND(K159&gt;=6,K159&lt;=9),4,AND(K159&gt;=10,K159&lt;=12),5)</f>
        <v>2</v>
      </c>
      <c r="O159" s="17" cm="1">
        <f t="array" ref="O159">_xlfn.IFS(AND(L159&gt;=4.1,L159&lt;=41.49),1,AND(L159&gt;=41.5,L159&lt;=78.86),2,AND(L159&gt;=78.87,L159&lt;=116.23),3,AND(L159&gt;=116.24,L159&lt;=153.6),4,AND(L159&gt;=153.61,L159&lt;=190.97),5)</f>
        <v>3</v>
      </c>
      <c r="P159" s="17">
        <f t="shared" si="2"/>
        <v>9</v>
      </c>
      <c r="Q159" s="17" t="str" cm="1">
        <f t="array" ref="Q159">_xlfn.IFS(P159&gt;=14,"Best Customers",AND(P159&gt;=10,P159&lt;14),"Loyal Customers",AND(P159&gt;=7,P159&lt;10),"Potential Customers",AND(P159&gt;=4,P159&lt;7),"Need Attention",P159&lt;4,"At Risk")</f>
        <v>Potential Customers</v>
      </c>
    </row>
    <row r="160" spans="1:17" x14ac:dyDescent="0.35">
      <c r="A160" t="s">
        <v>286</v>
      </c>
      <c r="B160" t="s">
        <v>287</v>
      </c>
      <c r="C160" s="1">
        <v>45661.343007002317</v>
      </c>
      <c r="D160" t="s">
        <v>7</v>
      </c>
      <c r="E160">
        <v>40.28</v>
      </c>
      <c r="I160" s="17" t="s">
        <v>331</v>
      </c>
      <c r="J160" s="18">
        <v>73.656990740739275</v>
      </c>
      <c r="K160" s="17">
        <v>4</v>
      </c>
      <c r="L160" s="17">
        <v>137.26</v>
      </c>
      <c r="M160" s="17" cm="1">
        <f t="array" ref="M160">_xlfn.IFS(AND(J160&gt;=65,J160&lt;=141),5,AND(J160&gt;141,J160&lt;=213),4,AND(J160&gt;213,J160&lt;=285),3,AND(J160&gt;285,J160&lt;=357),2,AND(J160&gt;357,J160&lt;=430),1)</f>
        <v>5</v>
      </c>
      <c r="N160" s="17" cm="1">
        <f t="array" ref="N160">_xlfn.IFS(AND(K160&gt;=1,K160&lt;=2),1,AND(K160&gt;=3,K160&lt;=4),2,AND(K160&gt;=5,K160&lt;=6),3,AND(K160&gt;=6,K160&lt;=9),4,AND(K160&gt;=10,K160&lt;=12),5)</f>
        <v>2</v>
      </c>
      <c r="O160" s="17" cm="1">
        <f t="array" ref="O160">_xlfn.IFS(AND(L160&gt;=4.1,L160&lt;=41.49),1,AND(L160&gt;=41.5,L160&lt;=78.86),2,AND(L160&gt;=78.87,L160&lt;=116.23),3,AND(L160&gt;=116.24,L160&lt;=153.6),4,AND(L160&gt;=153.61,L160&lt;=190.97),5)</f>
        <v>4</v>
      </c>
      <c r="P160" s="17">
        <f t="shared" si="2"/>
        <v>11</v>
      </c>
      <c r="Q160" s="17" t="str" cm="1">
        <f t="array" ref="Q160">_xlfn.IFS(P160&gt;=14,"Best Customers",AND(P160&gt;=10,P160&lt;14),"Loyal Customers",AND(P160&gt;=7,P160&lt;10),"Potential Customers",AND(P160&gt;=4,P160&lt;7),"Need Attention",P160&lt;4,"At Risk")</f>
        <v>Loyal Customers</v>
      </c>
    </row>
    <row r="161" spans="1:17" x14ac:dyDescent="0.35">
      <c r="A161" t="s">
        <v>288</v>
      </c>
      <c r="B161" t="s">
        <v>289</v>
      </c>
      <c r="C161" s="1">
        <v>45765.343007002317</v>
      </c>
      <c r="D161" t="s">
        <v>13</v>
      </c>
      <c r="E161">
        <v>11.42</v>
      </c>
      <c r="I161" s="17" t="s">
        <v>1280</v>
      </c>
      <c r="J161" s="18">
        <v>316.65699074073927</v>
      </c>
      <c r="K161" s="17">
        <v>1</v>
      </c>
      <c r="L161" s="17">
        <v>10.17</v>
      </c>
      <c r="M161" s="17" cm="1">
        <f t="array" ref="M161">_xlfn.IFS(AND(J161&gt;=65,J161&lt;=141),5,AND(J161&gt;141,J161&lt;=213),4,AND(J161&gt;213,J161&lt;=285),3,AND(J161&gt;285,J161&lt;=357),2,AND(J161&gt;357,J161&lt;=430),1)</f>
        <v>2</v>
      </c>
      <c r="N161" s="17" cm="1">
        <f t="array" ref="N161">_xlfn.IFS(AND(K161&gt;=1,K161&lt;=2),1,AND(K161&gt;=3,K161&lt;=4),2,AND(K161&gt;=5,K161&lt;=6),3,AND(K161&gt;=6,K161&lt;=9),4,AND(K161&gt;=10,K161&lt;=12),5)</f>
        <v>1</v>
      </c>
      <c r="O161" s="17" cm="1">
        <f t="array" ref="O161">_xlfn.IFS(AND(L161&gt;=4.1,L161&lt;=41.49),1,AND(L161&gt;=41.5,L161&lt;=78.86),2,AND(L161&gt;=78.87,L161&lt;=116.23),3,AND(L161&gt;=116.24,L161&lt;=153.6),4,AND(L161&gt;=153.61,L161&lt;=190.97),5)</f>
        <v>1</v>
      </c>
      <c r="P161" s="17">
        <f t="shared" si="2"/>
        <v>4</v>
      </c>
      <c r="Q161" s="17" t="str" cm="1">
        <f t="array" ref="Q161">_xlfn.IFS(P161&gt;=14,"Best Customers",AND(P161&gt;=10,P161&lt;14),"Loyal Customers",AND(P161&gt;=7,P161&lt;10),"Potential Customers",AND(P161&gt;=4,P161&lt;7),"Need Attention",P161&lt;4,"At Risk")</f>
        <v>Need Attention</v>
      </c>
    </row>
    <row r="162" spans="1:17" x14ac:dyDescent="0.35">
      <c r="A162" t="s">
        <v>290</v>
      </c>
      <c r="B162" t="s">
        <v>31</v>
      </c>
      <c r="C162" s="1">
        <v>45640.343007002317</v>
      </c>
      <c r="D162" t="s">
        <v>50</v>
      </c>
      <c r="E162">
        <v>4.01</v>
      </c>
      <c r="I162" s="17" t="s">
        <v>26</v>
      </c>
      <c r="J162" s="18">
        <v>111.65699074073927</v>
      </c>
      <c r="K162" s="17">
        <v>3</v>
      </c>
      <c r="L162" s="17">
        <v>58.050000000000004</v>
      </c>
      <c r="M162" s="17" cm="1">
        <f t="array" ref="M162">_xlfn.IFS(AND(J162&gt;=65,J162&lt;=141),5,AND(J162&gt;141,J162&lt;=213),4,AND(J162&gt;213,J162&lt;=285),3,AND(J162&gt;285,J162&lt;=357),2,AND(J162&gt;357,J162&lt;=430),1)</f>
        <v>5</v>
      </c>
      <c r="N162" s="17" cm="1">
        <f t="array" ref="N162">_xlfn.IFS(AND(K162&gt;=1,K162&lt;=2),1,AND(K162&gt;=3,K162&lt;=4),2,AND(K162&gt;=5,K162&lt;=6),3,AND(K162&gt;=6,K162&lt;=9),4,AND(K162&gt;=10,K162&lt;=12),5)</f>
        <v>2</v>
      </c>
      <c r="O162" s="17" cm="1">
        <f t="array" ref="O162">_xlfn.IFS(AND(L162&gt;=4.1,L162&lt;=41.49),1,AND(L162&gt;=41.5,L162&lt;=78.86),2,AND(L162&gt;=78.87,L162&lt;=116.23),3,AND(L162&gt;=116.24,L162&lt;=153.6),4,AND(L162&gt;=153.61,L162&lt;=190.97),5)</f>
        <v>2</v>
      </c>
      <c r="P162" s="17">
        <f t="shared" si="2"/>
        <v>9</v>
      </c>
      <c r="Q162" s="17" t="str" cm="1">
        <f t="array" ref="Q162">_xlfn.IFS(P162&gt;=14,"Best Customers",AND(P162&gt;=10,P162&lt;14),"Loyal Customers",AND(P162&gt;=7,P162&lt;10),"Potential Customers",AND(P162&gt;=4,P162&lt;7),"Need Attention",P162&lt;4,"At Risk")</f>
        <v>Potential Customers</v>
      </c>
    </row>
    <row r="163" spans="1:17" x14ac:dyDescent="0.35">
      <c r="A163" t="s">
        <v>291</v>
      </c>
      <c r="B163" t="s">
        <v>279</v>
      </c>
      <c r="C163" s="1">
        <v>45657.343007002317</v>
      </c>
      <c r="D163" t="s">
        <v>7</v>
      </c>
      <c r="E163">
        <v>38.17</v>
      </c>
      <c r="I163" s="17" t="s">
        <v>767</v>
      </c>
      <c r="J163" s="18">
        <v>391.65699074073927</v>
      </c>
      <c r="K163" s="17">
        <v>2</v>
      </c>
      <c r="L163" s="17">
        <v>53.61</v>
      </c>
      <c r="M163" s="17" cm="1">
        <f t="array" ref="M163">_xlfn.IFS(AND(J163&gt;=65,J163&lt;=141),5,AND(J163&gt;141,J163&lt;=213),4,AND(J163&gt;213,J163&lt;=285),3,AND(J163&gt;285,J163&lt;=357),2,AND(J163&gt;357,J163&lt;=430),1)</f>
        <v>1</v>
      </c>
      <c r="N163" s="17" cm="1">
        <f t="array" ref="N163">_xlfn.IFS(AND(K163&gt;=1,K163&lt;=2),1,AND(K163&gt;=3,K163&lt;=4),2,AND(K163&gt;=5,K163&lt;=6),3,AND(K163&gt;=6,K163&lt;=9),4,AND(K163&gt;=10,K163&lt;=12),5)</f>
        <v>1</v>
      </c>
      <c r="O163" s="17" cm="1">
        <f t="array" ref="O163">_xlfn.IFS(AND(L163&gt;=4.1,L163&lt;=41.49),1,AND(L163&gt;=41.5,L163&lt;=78.86),2,AND(L163&gt;=78.87,L163&lt;=116.23),3,AND(L163&gt;=116.24,L163&lt;=153.6),4,AND(L163&gt;=153.61,L163&lt;=190.97),5)</f>
        <v>2</v>
      </c>
      <c r="P163" s="17">
        <f t="shared" si="2"/>
        <v>4</v>
      </c>
      <c r="Q163" s="17" t="str" cm="1">
        <f t="array" ref="Q163">_xlfn.IFS(P163&gt;=14,"Best Customers",AND(P163&gt;=10,P163&lt;14),"Loyal Customers",AND(P163&gt;=7,P163&lt;10),"Potential Customers",AND(P163&gt;=4,P163&lt;7),"Need Attention",P163&lt;4,"At Risk")</f>
        <v>Need Attention</v>
      </c>
    </row>
    <row r="164" spans="1:17" x14ac:dyDescent="0.35">
      <c r="A164" t="s">
        <v>292</v>
      </c>
      <c r="B164" t="s">
        <v>190</v>
      </c>
      <c r="C164" s="1">
        <v>45729.343007002317</v>
      </c>
      <c r="D164" t="s">
        <v>7</v>
      </c>
      <c r="E164">
        <v>44.67</v>
      </c>
      <c r="I164" s="17" t="s">
        <v>628</v>
      </c>
      <c r="J164" s="18">
        <v>99.656990740739275</v>
      </c>
      <c r="K164" s="17">
        <v>4</v>
      </c>
      <c r="L164" s="17">
        <v>62.59</v>
      </c>
      <c r="M164" s="17" cm="1">
        <f t="array" ref="M164">_xlfn.IFS(AND(J164&gt;=65,J164&lt;=141),5,AND(J164&gt;141,J164&lt;=213),4,AND(J164&gt;213,J164&lt;=285),3,AND(J164&gt;285,J164&lt;=357),2,AND(J164&gt;357,J164&lt;=430),1)</f>
        <v>5</v>
      </c>
      <c r="N164" s="17" cm="1">
        <f t="array" ref="N164">_xlfn.IFS(AND(K164&gt;=1,K164&lt;=2),1,AND(K164&gt;=3,K164&lt;=4),2,AND(K164&gt;=5,K164&lt;=6),3,AND(K164&gt;=6,K164&lt;=9),4,AND(K164&gt;=10,K164&lt;=12),5)</f>
        <v>2</v>
      </c>
      <c r="O164" s="17" cm="1">
        <f t="array" ref="O164">_xlfn.IFS(AND(L164&gt;=4.1,L164&lt;=41.49),1,AND(L164&gt;=41.5,L164&lt;=78.86),2,AND(L164&gt;=78.87,L164&lt;=116.23),3,AND(L164&gt;=116.24,L164&lt;=153.6),4,AND(L164&gt;=153.61,L164&lt;=190.97),5)</f>
        <v>2</v>
      </c>
      <c r="P164" s="17">
        <f t="shared" si="2"/>
        <v>9</v>
      </c>
      <c r="Q164" s="17" t="str" cm="1">
        <f t="array" ref="Q164">_xlfn.IFS(P164&gt;=14,"Best Customers",AND(P164&gt;=10,P164&lt;14),"Loyal Customers",AND(P164&gt;=7,P164&lt;10),"Potential Customers",AND(P164&gt;=4,P164&lt;7),"Need Attention",P164&lt;4,"At Risk")</f>
        <v>Potential Customers</v>
      </c>
    </row>
    <row r="165" spans="1:17" x14ac:dyDescent="0.35">
      <c r="A165" t="s">
        <v>293</v>
      </c>
      <c r="B165" t="s">
        <v>153</v>
      </c>
      <c r="C165" s="1">
        <v>45879.343007002317</v>
      </c>
      <c r="D165" t="s">
        <v>10</v>
      </c>
      <c r="E165">
        <v>15.58</v>
      </c>
      <c r="I165" s="17" t="s">
        <v>209</v>
      </c>
      <c r="J165" s="18">
        <v>146.65699074073927</v>
      </c>
      <c r="K165" s="17">
        <v>3</v>
      </c>
      <c r="L165" s="17">
        <v>37.590000000000003</v>
      </c>
      <c r="M165" s="17" cm="1">
        <f t="array" ref="M165">_xlfn.IFS(AND(J165&gt;=65,J165&lt;=141),5,AND(J165&gt;141,J165&lt;=213),4,AND(J165&gt;213,J165&lt;=285),3,AND(J165&gt;285,J165&lt;=357),2,AND(J165&gt;357,J165&lt;=430),1)</f>
        <v>4</v>
      </c>
      <c r="N165" s="17" cm="1">
        <f t="array" ref="N165">_xlfn.IFS(AND(K165&gt;=1,K165&lt;=2),1,AND(K165&gt;=3,K165&lt;=4),2,AND(K165&gt;=5,K165&lt;=6),3,AND(K165&gt;=6,K165&lt;=9),4,AND(K165&gt;=10,K165&lt;=12),5)</f>
        <v>2</v>
      </c>
      <c r="O165" s="17" cm="1">
        <f t="array" ref="O165">_xlfn.IFS(AND(L165&gt;=4.1,L165&lt;=41.49),1,AND(L165&gt;=41.5,L165&lt;=78.86),2,AND(L165&gt;=78.87,L165&lt;=116.23),3,AND(L165&gt;=116.24,L165&lt;=153.6),4,AND(L165&gt;=153.61,L165&lt;=190.97),5)</f>
        <v>1</v>
      </c>
      <c r="P165" s="17">
        <f t="shared" si="2"/>
        <v>7</v>
      </c>
      <c r="Q165" s="17" t="str" cm="1">
        <f t="array" ref="Q165">_xlfn.IFS(P165&gt;=14,"Best Customers",AND(P165&gt;=10,P165&lt;14),"Loyal Customers",AND(P165&gt;=7,P165&lt;10),"Potential Customers",AND(P165&gt;=4,P165&lt;7),"Need Attention",P165&lt;4,"At Risk")</f>
        <v>Potential Customers</v>
      </c>
    </row>
    <row r="166" spans="1:17" x14ac:dyDescent="0.35">
      <c r="A166" t="s">
        <v>294</v>
      </c>
      <c r="B166" t="s">
        <v>106</v>
      </c>
      <c r="C166" s="1">
        <v>45623.343007002317</v>
      </c>
      <c r="D166" t="s">
        <v>7</v>
      </c>
      <c r="E166">
        <v>33.619999999999997</v>
      </c>
      <c r="I166" s="17" t="s">
        <v>22</v>
      </c>
      <c r="J166" s="18">
        <v>123.65699074073927</v>
      </c>
      <c r="K166" s="17">
        <v>3</v>
      </c>
      <c r="L166" s="17">
        <v>61.62</v>
      </c>
      <c r="M166" s="17" cm="1">
        <f t="array" ref="M166">_xlfn.IFS(AND(J166&gt;=65,J166&lt;=141),5,AND(J166&gt;141,J166&lt;=213),4,AND(J166&gt;213,J166&lt;=285),3,AND(J166&gt;285,J166&lt;=357),2,AND(J166&gt;357,J166&lt;=430),1)</f>
        <v>5</v>
      </c>
      <c r="N166" s="17" cm="1">
        <f t="array" ref="N166">_xlfn.IFS(AND(K166&gt;=1,K166&lt;=2),1,AND(K166&gt;=3,K166&lt;=4),2,AND(K166&gt;=5,K166&lt;=6),3,AND(K166&gt;=6,K166&lt;=9),4,AND(K166&gt;=10,K166&lt;=12),5)</f>
        <v>2</v>
      </c>
      <c r="O166" s="17" cm="1">
        <f t="array" ref="O166">_xlfn.IFS(AND(L166&gt;=4.1,L166&lt;=41.49),1,AND(L166&gt;=41.5,L166&lt;=78.86),2,AND(L166&gt;=78.87,L166&lt;=116.23),3,AND(L166&gt;=116.24,L166&lt;=153.6),4,AND(L166&gt;=153.61,L166&lt;=190.97),5)</f>
        <v>2</v>
      </c>
      <c r="P166" s="17">
        <f t="shared" si="2"/>
        <v>9</v>
      </c>
      <c r="Q166" s="17" t="str" cm="1">
        <f t="array" ref="Q166">_xlfn.IFS(P166&gt;=14,"Best Customers",AND(P166&gt;=10,P166&lt;14),"Loyal Customers",AND(P166&gt;=7,P166&lt;10),"Potential Customers",AND(P166&gt;=4,P166&lt;7),"Need Attention",P166&lt;4,"At Risk")</f>
        <v>Potential Customers</v>
      </c>
    </row>
    <row r="167" spans="1:17" x14ac:dyDescent="0.35">
      <c r="A167" t="s">
        <v>295</v>
      </c>
      <c r="B167" t="s">
        <v>296</v>
      </c>
      <c r="C167" s="1">
        <v>45703.343007002317</v>
      </c>
      <c r="D167" t="s">
        <v>10</v>
      </c>
      <c r="E167">
        <v>17.079999999999998</v>
      </c>
      <c r="I167" s="17" t="s">
        <v>173</v>
      </c>
      <c r="J167" s="18">
        <v>96.656990740739275</v>
      </c>
      <c r="K167" s="17">
        <v>4</v>
      </c>
      <c r="L167" s="17">
        <v>52.510000000000005</v>
      </c>
      <c r="M167" s="17" cm="1">
        <f t="array" ref="M167">_xlfn.IFS(AND(J167&gt;=65,J167&lt;=141),5,AND(J167&gt;141,J167&lt;=213),4,AND(J167&gt;213,J167&lt;=285),3,AND(J167&gt;285,J167&lt;=357),2,AND(J167&gt;357,J167&lt;=430),1)</f>
        <v>5</v>
      </c>
      <c r="N167" s="17" cm="1">
        <f t="array" ref="N167">_xlfn.IFS(AND(K167&gt;=1,K167&lt;=2),1,AND(K167&gt;=3,K167&lt;=4),2,AND(K167&gt;=5,K167&lt;=6),3,AND(K167&gt;=6,K167&lt;=9),4,AND(K167&gt;=10,K167&lt;=12),5)</f>
        <v>2</v>
      </c>
      <c r="O167" s="17" cm="1">
        <f t="array" ref="O167">_xlfn.IFS(AND(L167&gt;=4.1,L167&lt;=41.49),1,AND(L167&gt;=41.5,L167&lt;=78.86),2,AND(L167&gt;=78.87,L167&lt;=116.23),3,AND(L167&gt;=116.24,L167&lt;=153.6),4,AND(L167&gt;=153.61,L167&lt;=190.97),5)</f>
        <v>2</v>
      </c>
      <c r="P167" s="17">
        <f t="shared" si="2"/>
        <v>9</v>
      </c>
      <c r="Q167" s="17" t="str" cm="1">
        <f t="array" ref="Q167">_xlfn.IFS(P167&gt;=14,"Best Customers",AND(P167&gt;=10,P167&lt;14),"Loyal Customers",AND(P167&gt;=7,P167&lt;10),"Potential Customers",AND(P167&gt;=4,P167&lt;7),"Need Attention",P167&lt;4,"At Risk")</f>
        <v>Potential Customers</v>
      </c>
    </row>
    <row r="168" spans="1:17" x14ac:dyDescent="0.35">
      <c r="A168" t="s">
        <v>297</v>
      </c>
      <c r="B168" t="s">
        <v>289</v>
      </c>
      <c r="C168" s="1">
        <v>45639.343007002317</v>
      </c>
      <c r="D168" t="s">
        <v>16</v>
      </c>
      <c r="E168">
        <v>10.119999999999999</v>
      </c>
      <c r="I168" s="17" t="s">
        <v>896</v>
      </c>
      <c r="J168" s="18">
        <v>107.65699074073927</v>
      </c>
      <c r="K168" s="17">
        <v>2</v>
      </c>
      <c r="L168" s="17">
        <v>55.1</v>
      </c>
      <c r="M168" s="17" cm="1">
        <f t="array" ref="M168">_xlfn.IFS(AND(J168&gt;=65,J168&lt;=141),5,AND(J168&gt;141,J168&lt;=213),4,AND(J168&gt;213,J168&lt;=285),3,AND(J168&gt;285,J168&lt;=357),2,AND(J168&gt;357,J168&lt;=430),1)</f>
        <v>5</v>
      </c>
      <c r="N168" s="17" cm="1">
        <f t="array" ref="N168">_xlfn.IFS(AND(K168&gt;=1,K168&lt;=2),1,AND(K168&gt;=3,K168&lt;=4),2,AND(K168&gt;=5,K168&lt;=6),3,AND(K168&gt;=6,K168&lt;=9),4,AND(K168&gt;=10,K168&lt;=12),5)</f>
        <v>1</v>
      </c>
      <c r="O168" s="17" cm="1">
        <f t="array" ref="O168">_xlfn.IFS(AND(L168&gt;=4.1,L168&lt;=41.49),1,AND(L168&gt;=41.5,L168&lt;=78.86),2,AND(L168&gt;=78.87,L168&lt;=116.23),3,AND(L168&gt;=116.24,L168&lt;=153.6),4,AND(L168&gt;=153.61,L168&lt;=190.97),5)</f>
        <v>2</v>
      </c>
      <c r="P168" s="17">
        <f t="shared" si="2"/>
        <v>8</v>
      </c>
      <c r="Q168" s="17" t="str" cm="1">
        <f t="array" ref="Q168">_xlfn.IFS(P168&gt;=14,"Best Customers",AND(P168&gt;=10,P168&lt;14),"Loyal Customers",AND(P168&gt;=7,P168&lt;10),"Potential Customers",AND(P168&gt;=4,P168&lt;7),"Need Attention",P168&lt;4,"At Risk")</f>
        <v>Potential Customers</v>
      </c>
    </row>
    <row r="169" spans="1:17" x14ac:dyDescent="0.35">
      <c r="A169" t="s">
        <v>298</v>
      </c>
      <c r="B169" t="s">
        <v>233</v>
      </c>
      <c r="C169" s="1">
        <v>45935.343007002317</v>
      </c>
      <c r="D169" t="s">
        <v>13</v>
      </c>
      <c r="E169">
        <v>13.64</v>
      </c>
      <c r="I169" s="17" t="s">
        <v>321</v>
      </c>
      <c r="J169" s="18">
        <v>99.656990740739275</v>
      </c>
      <c r="K169" s="17">
        <v>6</v>
      </c>
      <c r="L169" s="17">
        <v>86.22</v>
      </c>
      <c r="M169" s="17" cm="1">
        <f t="array" ref="M169">_xlfn.IFS(AND(J169&gt;=65,J169&lt;=141),5,AND(J169&gt;141,J169&lt;=213),4,AND(J169&gt;213,J169&lt;=285),3,AND(J169&gt;285,J169&lt;=357),2,AND(J169&gt;357,J169&lt;=430),1)</f>
        <v>5</v>
      </c>
      <c r="N169" s="17" cm="1">
        <f t="array" ref="N169">_xlfn.IFS(AND(K169&gt;=1,K169&lt;=2),1,AND(K169&gt;=3,K169&lt;=4),2,AND(K169&gt;=5,K169&lt;=6),3,AND(K169&gt;=6,K169&lt;=9),4,AND(K169&gt;=10,K169&lt;=12),5)</f>
        <v>3</v>
      </c>
      <c r="O169" s="17" cm="1">
        <f t="array" ref="O169">_xlfn.IFS(AND(L169&gt;=4.1,L169&lt;=41.49),1,AND(L169&gt;=41.5,L169&lt;=78.86),2,AND(L169&gt;=78.87,L169&lt;=116.23),3,AND(L169&gt;=116.24,L169&lt;=153.6),4,AND(L169&gt;=153.61,L169&lt;=190.97),5)</f>
        <v>3</v>
      </c>
      <c r="P169" s="17">
        <f t="shared" si="2"/>
        <v>11</v>
      </c>
      <c r="Q169" s="17" t="str" cm="1">
        <f t="array" ref="Q169">_xlfn.IFS(P169&gt;=14,"Best Customers",AND(P169&gt;=10,P169&lt;14),"Loyal Customers",AND(P169&gt;=7,P169&lt;10),"Potential Customers",AND(P169&gt;=4,P169&lt;7),"Need Attention",P169&lt;4,"At Risk")</f>
        <v>Loyal Customers</v>
      </c>
    </row>
    <row r="170" spans="1:17" x14ac:dyDescent="0.35">
      <c r="A170" t="s">
        <v>299</v>
      </c>
      <c r="B170" t="s">
        <v>300</v>
      </c>
      <c r="C170" s="1">
        <v>45881.343007002317</v>
      </c>
      <c r="D170" t="s">
        <v>10</v>
      </c>
      <c r="E170">
        <v>15.48</v>
      </c>
      <c r="I170" s="17" t="s">
        <v>601</v>
      </c>
      <c r="J170" s="18">
        <v>109.65699074073927</v>
      </c>
      <c r="K170" s="17">
        <v>4</v>
      </c>
      <c r="L170" s="17">
        <v>107.85</v>
      </c>
      <c r="M170" s="17" cm="1">
        <f t="array" ref="M170">_xlfn.IFS(AND(J170&gt;=65,J170&lt;=141),5,AND(J170&gt;141,J170&lt;=213),4,AND(J170&gt;213,J170&lt;=285),3,AND(J170&gt;285,J170&lt;=357),2,AND(J170&gt;357,J170&lt;=430),1)</f>
        <v>5</v>
      </c>
      <c r="N170" s="17" cm="1">
        <f t="array" ref="N170">_xlfn.IFS(AND(K170&gt;=1,K170&lt;=2),1,AND(K170&gt;=3,K170&lt;=4),2,AND(K170&gt;=5,K170&lt;=6),3,AND(K170&gt;=6,K170&lt;=9),4,AND(K170&gt;=10,K170&lt;=12),5)</f>
        <v>2</v>
      </c>
      <c r="O170" s="17" cm="1">
        <f t="array" ref="O170">_xlfn.IFS(AND(L170&gt;=4.1,L170&lt;=41.49),1,AND(L170&gt;=41.5,L170&lt;=78.86),2,AND(L170&gt;=78.87,L170&lt;=116.23),3,AND(L170&gt;=116.24,L170&lt;=153.6),4,AND(L170&gt;=153.61,L170&lt;=190.97),5)</f>
        <v>3</v>
      </c>
      <c r="P170" s="17">
        <f t="shared" si="2"/>
        <v>10</v>
      </c>
      <c r="Q170" s="17" t="str" cm="1">
        <f t="array" ref="Q170">_xlfn.IFS(P170&gt;=14,"Best Customers",AND(P170&gt;=10,P170&lt;14),"Loyal Customers",AND(P170&gt;=7,P170&lt;10),"Potential Customers",AND(P170&gt;=4,P170&lt;7),"Need Attention",P170&lt;4,"At Risk")</f>
        <v>Loyal Customers</v>
      </c>
    </row>
    <row r="171" spans="1:17" x14ac:dyDescent="0.35">
      <c r="A171" t="s">
        <v>301</v>
      </c>
      <c r="B171" t="s">
        <v>202</v>
      </c>
      <c r="C171" s="1">
        <v>45926.343007002317</v>
      </c>
      <c r="D171" t="s">
        <v>50</v>
      </c>
      <c r="E171">
        <v>5.12</v>
      </c>
      <c r="I171" s="17" t="s">
        <v>279</v>
      </c>
      <c r="J171" s="18">
        <v>84.656990740739275</v>
      </c>
      <c r="K171" s="17">
        <v>5</v>
      </c>
      <c r="L171" s="17">
        <v>122.91</v>
      </c>
      <c r="M171" s="17" cm="1">
        <f t="array" ref="M171">_xlfn.IFS(AND(J171&gt;=65,J171&lt;=141),5,AND(J171&gt;141,J171&lt;=213),4,AND(J171&gt;213,J171&lt;=285),3,AND(J171&gt;285,J171&lt;=357),2,AND(J171&gt;357,J171&lt;=430),1)</f>
        <v>5</v>
      </c>
      <c r="N171" s="17" cm="1">
        <f t="array" ref="N171">_xlfn.IFS(AND(K171&gt;=1,K171&lt;=2),1,AND(K171&gt;=3,K171&lt;=4),2,AND(K171&gt;=5,K171&lt;=6),3,AND(K171&gt;=6,K171&lt;=9),4,AND(K171&gt;=10,K171&lt;=12),5)</f>
        <v>3</v>
      </c>
      <c r="O171" s="17" cm="1">
        <f t="array" ref="O171">_xlfn.IFS(AND(L171&gt;=4.1,L171&lt;=41.49),1,AND(L171&gt;=41.5,L171&lt;=78.86),2,AND(L171&gt;=78.87,L171&lt;=116.23),3,AND(L171&gt;=116.24,L171&lt;=153.6),4,AND(L171&gt;=153.61,L171&lt;=190.97),5)</f>
        <v>4</v>
      </c>
      <c r="P171" s="17">
        <f t="shared" si="2"/>
        <v>12</v>
      </c>
      <c r="Q171" s="17" t="str" cm="1">
        <f t="array" ref="Q171">_xlfn.IFS(P171&gt;=14,"Best Customers",AND(P171&gt;=10,P171&lt;14),"Loyal Customers",AND(P171&gt;=7,P171&lt;10),"Potential Customers",AND(P171&gt;=4,P171&lt;7),"Need Attention",P171&lt;4,"At Risk")</f>
        <v>Loyal Customers</v>
      </c>
    </row>
    <row r="172" spans="1:17" x14ac:dyDescent="0.35">
      <c r="A172" t="s">
        <v>302</v>
      </c>
      <c r="B172" t="s">
        <v>303</v>
      </c>
      <c r="C172" s="1">
        <v>45723.343007002317</v>
      </c>
      <c r="D172" t="s">
        <v>13</v>
      </c>
      <c r="E172">
        <v>10.11</v>
      </c>
      <c r="I172" s="17" t="s">
        <v>12</v>
      </c>
      <c r="J172" s="18">
        <v>163.65699074073927</v>
      </c>
      <c r="K172" s="17">
        <v>5</v>
      </c>
      <c r="L172" s="17">
        <v>114.12</v>
      </c>
      <c r="M172" s="17" cm="1">
        <f t="array" ref="M172">_xlfn.IFS(AND(J172&gt;=65,J172&lt;=141),5,AND(J172&gt;141,J172&lt;=213),4,AND(J172&gt;213,J172&lt;=285),3,AND(J172&gt;285,J172&lt;=357),2,AND(J172&gt;357,J172&lt;=430),1)</f>
        <v>4</v>
      </c>
      <c r="N172" s="17" cm="1">
        <f t="array" ref="N172">_xlfn.IFS(AND(K172&gt;=1,K172&lt;=2),1,AND(K172&gt;=3,K172&lt;=4),2,AND(K172&gt;=5,K172&lt;=6),3,AND(K172&gt;=6,K172&lt;=9),4,AND(K172&gt;=10,K172&lt;=12),5)</f>
        <v>3</v>
      </c>
      <c r="O172" s="17" cm="1">
        <f t="array" ref="O172">_xlfn.IFS(AND(L172&gt;=4.1,L172&lt;=41.49),1,AND(L172&gt;=41.5,L172&lt;=78.86),2,AND(L172&gt;=78.87,L172&lt;=116.23),3,AND(L172&gt;=116.24,L172&lt;=153.6),4,AND(L172&gt;=153.61,L172&lt;=190.97),5)</f>
        <v>3</v>
      </c>
      <c r="P172" s="17">
        <f t="shared" si="2"/>
        <v>10</v>
      </c>
      <c r="Q172" s="17" t="str" cm="1">
        <f t="array" ref="Q172">_xlfn.IFS(P172&gt;=14,"Best Customers",AND(P172&gt;=10,P172&lt;14),"Loyal Customers",AND(P172&gt;=7,P172&lt;10),"Potential Customers",AND(P172&gt;=4,P172&lt;7),"Need Attention",P172&lt;4,"At Risk")</f>
        <v>Loyal Customers</v>
      </c>
    </row>
    <row r="173" spans="1:17" x14ac:dyDescent="0.35">
      <c r="A173" t="s">
        <v>304</v>
      </c>
      <c r="B173" t="s">
        <v>305</v>
      </c>
      <c r="C173" s="1">
        <v>45943.343007002317</v>
      </c>
      <c r="D173" t="s">
        <v>10</v>
      </c>
      <c r="E173">
        <v>13</v>
      </c>
      <c r="I173" s="17" t="s">
        <v>100</v>
      </c>
      <c r="J173" s="18">
        <v>105.65699074073927</v>
      </c>
      <c r="K173" s="17">
        <v>5</v>
      </c>
      <c r="L173" s="17">
        <v>55.540000000000006</v>
      </c>
      <c r="M173" s="17" cm="1">
        <f t="array" ref="M173">_xlfn.IFS(AND(J173&gt;=65,J173&lt;=141),5,AND(J173&gt;141,J173&lt;=213),4,AND(J173&gt;213,J173&lt;=285),3,AND(J173&gt;285,J173&lt;=357),2,AND(J173&gt;357,J173&lt;=430),1)</f>
        <v>5</v>
      </c>
      <c r="N173" s="17" cm="1">
        <f t="array" ref="N173">_xlfn.IFS(AND(K173&gt;=1,K173&lt;=2),1,AND(K173&gt;=3,K173&lt;=4),2,AND(K173&gt;=5,K173&lt;=6),3,AND(K173&gt;=6,K173&lt;=9),4,AND(K173&gt;=10,K173&lt;=12),5)</f>
        <v>3</v>
      </c>
      <c r="O173" s="17" cm="1">
        <f t="array" ref="O173">_xlfn.IFS(AND(L173&gt;=4.1,L173&lt;=41.49),1,AND(L173&gt;=41.5,L173&lt;=78.86),2,AND(L173&gt;=78.87,L173&lt;=116.23),3,AND(L173&gt;=116.24,L173&lt;=153.6),4,AND(L173&gt;=153.61,L173&lt;=190.97),5)</f>
        <v>2</v>
      </c>
      <c r="P173" s="17">
        <f t="shared" si="2"/>
        <v>10</v>
      </c>
      <c r="Q173" s="17" t="str" cm="1">
        <f t="array" ref="Q173">_xlfn.IFS(P173&gt;=14,"Best Customers",AND(P173&gt;=10,P173&lt;14),"Loyal Customers",AND(P173&gt;=7,P173&lt;10),"Potential Customers",AND(P173&gt;=4,P173&lt;7),"Need Attention",P173&lt;4,"At Risk")</f>
        <v>Loyal Customers</v>
      </c>
    </row>
    <row r="174" spans="1:17" x14ac:dyDescent="0.35">
      <c r="A174" t="s">
        <v>306</v>
      </c>
      <c r="B174" t="s">
        <v>307</v>
      </c>
      <c r="C174" s="1">
        <v>45826.343007002317</v>
      </c>
      <c r="D174" t="s">
        <v>13</v>
      </c>
      <c r="E174">
        <v>14.27</v>
      </c>
      <c r="I174" s="17" t="s">
        <v>275</v>
      </c>
      <c r="J174" s="18">
        <v>398.65699074073927</v>
      </c>
      <c r="K174" s="17">
        <v>1</v>
      </c>
      <c r="L174" s="17">
        <v>12.12</v>
      </c>
      <c r="M174" s="17" cm="1">
        <f t="array" ref="M174">_xlfn.IFS(AND(J174&gt;=65,J174&lt;=141),5,AND(J174&gt;141,J174&lt;=213),4,AND(J174&gt;213,J174&lt;=285),3,AND(J174&gt;285,J174&lt;=357),2,AND(J174&gt;357,J174&lt;=430),1)</f>
        <v>1</v>
      </c>
      <c r="N174" s="17" cm="1">
        <f t="array" ref="N174">_xlfn.IFS(AND(K174&gt;=1,K174&lt;=2),1,AND(K174&gt;=3,K174&lt;=4),2,AND(K174&gt;=5,K174&lt;=6),3,AND(K174&gt;=6,K174&lt;=9),4,AND(K174&gt;=10,K174&lt;=12),5)</f>
        <v>1</v>
      </c>
      <c r="O174" s="17" cm="1">
        <f t="array" ref="O174">_xlfn.IFS(AND(L174&gt;=4.1,L174&lt;=41.49),1,AND(L174&gt;=41.5,L174&lt;=78.86),2,AND(L174&gt;=78.87,L174&lt;=116.23),3,AND(L174&gt;=116.24,L174&lt;=153.6),4,AND(L174&gt;=153.61,L174&lt;=190.97),5)</f>
        <v>1</v>
      </c>
      <c r="P174" s="17">
        <f t="shared" si="2"/>
        <v>3</v>
      </c>
      <c r="Q174" s="17" t="str" cm="1">
        <f t="array" ref="Q174">_xlfn.IFS(P174&gt;=14,"Best Customers",AND(P174&gt;=10,P174&lt;14),"Loyal Customers",AND(P174&gt;=7,P174&lt;10),"Potential Customers",AND(P174&gt;=4,P174&lt;7),"Need Attention",P174&lt;4,"At Risk")</f>
        <v>At Risk</v>
      </c>
    </row>
    <row r="175" spans="1:17" x14ac:dyDescent="0.35">
      <c r="A175" t="s">
        <v>308</v>
      </c>
      <c r="B175" t="s">
        <v>309</v>
      </c>
      <c r="C175" s="1">
        <v>45785.343007002317</v>
      </c>
      <c r="D175" t="s">
        <v>13</v>
      </c>
      <c r="E175">
        <v>10.7</v>
      </c>
      <c r="I175" s="17" t="s">
        <v>502</v>
      </c>
      <c r="J175" s="18">
        <v>251.65699074073927</v>
      </c>
      <c r="K175" s="17">
        <v>4</v>
      </c>
      <c r="L175" s="17">
        <v>34.24</v>
      </c>
      <c r="M175" s="17" cm="1">
        <f t="array" ref="M175">_xlfn.IFS(AND(J175&gt;=65,J175&lt;=141),5,AND(J175&gt;141,J175&lt;=213),4,AND(J175&gt;213,J175&lt;=285),3,AND(J175&gt;285,J175&lt;=357),2,AND(J175&gt;357,J175&lt;=430),1)</f>
        <v>3</v>
      </c>
      <c r="N175" s="17" cm="1">
        <f t="array" ref="N175">_xlfn.IFS(AND(K175&gt;=1,K175&lt;=2),1,AND(K175&gt;=3,K175&lt;=4),2,AND(K175&gt;=5,K175&lt;=6),3,AND(K175&gt;=6,K175&lt;=9),4,AND(K175&gt;=10,K175&lt;=12),5)</f>
        <v>2</v>
      </c>
      <c r="O175" s="17" cm="1">
        <f t="array" ref="O175">_xlfn.IFS(AND(L175&gt;=4.1,L175&lt;=41.49),1,AND(L175&gt;=41.5,L175&lt;=78.86),2,AND(L175&gt;=78.87,L175&lt;=116.23),3,AND(L175&gt;=116.24,L175&lt;=153.6),4,AND(L175&gt;=153.61,L175&lt;=190.97),5)</f>
        <v>1</v>
      </c>
      <c r="P175" s="17">
        <f t="shared" si="2"/>
        <v>6</v>
      </c>
      <c r="Q175" s="17" t="str" cm="1">
        <f t="array" ref="Q175">_xlfn.IFS(P175&gt;=14,"Best Customers",AND(P175&gt;=10,P175&lt;14),"Loyal Customers",AND(P175&gt;=7,P175&lt;10),"Potential Customers",AND(P175&gt;=4,P175&lt;7),"Need Attention",P175&lt;4,"At Risk")</f>
        <v>Need Attention</v>
      </c>
    </row>
    <row r="176" spans="1:17" x14ac:dyDescent="0.35">
      <c r="A176" t="s">
        <v>310</v>
      </c>
      <c r="B176" t="s">
        <v>281</v>
      </c>
      <c r="C176" s="1">
        <v>45820.343007002317</v>
      </c>
      <c r="D176" t="s">
        <v>13</v>
      </c>
      <c r="E176">
        <v>14.29</v>
      </c>
      <c r="I176" s="17" t="s">
        <v>238</v>
      </c>
      <c r="J176" s="18">
        <v>177.65699074073927</v>
      </c>
      <c r="K176" s="17">
        <v>3</v>
      </c>
      <c r="L176" s="17">
        <v>33.46</v>
      </c>
      <c r="M176" s="17" cm="1">
        <f t="array" ref="M176">_xlfn.IFS(AND(J176&gt;=65,J176&lt;=141),5,AND(J176&gt;141,J176&lt;=213),4,AND(J176&gt;213,J176&lt;=285),3,AND(J176&gt;285,J176&lt;=357),2,AND(J176&gt;357,J176&lt;=430),1)</f>
        <v>4</v>
      </c>
      <c r="N176" s="17" cm="1">
        <f t="array" ref="N176">_xlfn.IFS(AND(K176&gt;=1,K176&lt;=2),1,AND(K176&gt;=3,K176&lt;=4),2,AND(K176&gt;=5,K176&lt;=6),3,AND(K176&gt;=6,K176&lt;=9),4,AND(K176&gt;=10,K176&lt;=12),5)</f>
        <v>2</v>
      </c>
      <c r="O176" s="17" cm="1">
        <f t="array" ref="O176">_xlfn.IFS(AND(L176&gt;=4.1,L176&lt;=41.49),1,AND(L176&gt;=41.5,L176&lt;=78.86),2,AND(L176&gt;=78.87,L176&lt;=116.23),3,AND(L176&gt;=116.24,L176&lt;=153.6),4,AND(L176&gt;=153.61,L176&lt;=190.97),5)</f>
        <v>1</v>
      </c>
      <c r="P176" s="17">
        <f t="shared" si="2"/>
        <v>7</v>
      </c>
      <c r="Q176" s="17" t="str" cm="1">
        <f t="array" ref="Q176">_xlfn.IFS(P176&gt;=14,"Best Customers",AND(P176&gt;=10,P176&lt;14),"Loyal Customers",AND(P176&gt;=7,P176&lt;10),"Potential Customers",AND(P176&gt;=4,P176&lt;7),"Need Attention",P176&lt;4,"At Risk")</f>
        <v>Potential Customers</v>
      </c>
    </row>
    <row r="177" spans="1:17" x14ac:dyDescent="0.35">
      <c r="A177" t="s">
        <v>311</v>
      </c>
      <c r="B177" t="s">
        <v>68</v>
      </c>
      <c r="C177" s="1">
        <v>45878.343007002317</v>
      </c>
      <c r="D177" t="s">
        <v>16</v>
      </c>
      <c r="E177">
        <v>10.130000000000001</v>
      </c>
      <c r="I177" s="17" t="s">
        <v>618</v>
      </c>
      <c r="J177" s="18">
        <v>148.65699074073927</v>
      </c>
      <c r="K177" s="17">
        <v>2</v>
      </c>
      <c r="L177" s="17">
        <v>76.81</v>
      </c>
      <c r="M177" s="17" cm="1">
        <f t="array" ref="M177">_xlfn.IFS(AND(J177&gt;=65,J177&lt;=141),5,AND(J177&gt;141,J177&lt;=213),4,AND(J177&gt;213,J177&lt;=285),3,AND(J177&gt;285,J177&lt;=357),2,AND(J177&gt;357,J177&lt;=430),1)</f>
        <v>4</v>
      </c>
      <c r="N177" s="17" cm="1">
        <f t="array" ref="N177">_xlfn.IFS(AND(K177&gt;=1,K177&lt;=2),1,AND(K177&gt;=3,K177&lt;=4),2,AND(K177&gt;=5,K177&lt;=6),3,AND(K177&gt;=6,K177&lt;=9),4,AND(K177&gt;=10,K177&lt;=12),5)</f>
        <v>1</v>
      </c>
      <c r="O177" s="17" cm="1">
        <f t="array" ref="O177">_xlfn.IFS(AND(L177&gt;=4.1,L177&lt;=41.49),1,AND(L177&gt;=41.5,L177&lt;=78.86),2,AND(L177&gt;=78.87,L177&lt;=116.23),3,AND(L177&gt;=116.24,L177&lt;=153.6),4,AND(L177&gt;=153.61,L177&lt;=190.97),5)</f>
        <v>2</v>
      </c>
      <c r="P177" s="17">
        <f t="shared" si="2"/>
        <v>7</v>
      </c>
      <c r="Q177" s="17" t="str" cm="1">
        <f t="array" ref="Q177">_xlfn.IFS(P177&gt;=14,"Best Customers",AND(P177&gt;=10,P177&lt;14),"Loyal Customers",AND(P177&gt;=7,P177&lt;10),"Potential Customers",AND(P177&gt;=4,P177&lt;7),"Need Attention",P177&lt;4,"At Risk")</f>
        <v>Potential Customers</v>
      </c>
    </row>
    <row r="178" spans="1:17" x14ac:dyDescent="0.35">
      <c r="A178" t="s">
        <v>312</v>
      </c>
      <c r="B178" t="s">
        <v>313</v>
      </c>
      <c r="C178" s="1">
        <v>45716.343007002317</v>
      </c>
      <c r="D178" t="s">
        <v>50</v>
      </c>
      <c r="E178">
        <v>4.2699999999999996</v>
      </c>
      <c r="I178" s="17" t="s">
        <v>163</v>
      </c>
      <c r="J178" s="18">
        <v>221.65699074073927</v>
      </c>
      <c r="K178" s="17">
        <v>2</v>
      </c>
      <c r="L178" s="17">
        <v>9.69</v>
      </c>
      <c r="M178" s="17" cm="1">
        <f t="array" ref="M178">_xlfn.IFS(AND(J178&gt;=65,J178&lt;=141),5,AND(J178&gt;141,J178&lt;=213),4,AND(J178&gt;213,J178&lt;=285),3,AND(J178&gt;285,J178&lt;=357),2,AND(J178&gt;357,J178&lt;=430),1)</f>
        <v>3</v>
      </c>
      <c r="N178" s="17" cm="1">
        <f t="array" ref="N178">_xlfn.IFS(AND(K178&gt;=1,K178&lt;=2),1,AND(K178&gt;=3,K178&lt;=4),2,AND(K178&gt;=5,K178&lt;=6),3,AND(K178&gt;=6,K178&lt;=9),4,AND(K178&gt;=10,K178&lt;=12),5)</f>
        <v>1</v>
      </c>
      <c r="O178" s="17" cm="1">
        <f t="array" ref="O178">_xlfn.IFS(AND(L178&gt;=4.1,L178&lt;=41.49),1,AND(L178&gt;=41.5,L178&lt;=78.86),2,AND(L178&gt;=78.87,L178&lt;=116.23),3,AND(L178&gt;=116.24,L178&lt;=153.6),4,AND(L178&gt;=153.61,L178&lt;=190.97),5)</f>
        <v>1</v>
      </c>
      <c r="P178" s="17">
        <f t="shared" si="2"/>
        <v>5</v>
      </c>
      <c r="Q178" s="17" t="str" cm="1">
        <f t="array" ref="Q178">_xlfn.IFS(P178&gt;=14,"Best Customers",AND(P178&gt;=10,P178&lt;14),"Loyal Customers",AND(P178&gt;=7,P178&lt;10),"Potential Customers",AND(P178&gt;=4,P178&lt;7),"Need Attention",P178&lt;4,"At Risk")</f>
        <v>Need Attention</v>
      </c>
    </row>
    <row r="179" spans="1:17" x14ac:dyDescent="0.35">
      <c r="A179" t="s">
        <v>314</v>
      </c>
      <c r="B179" t="s">
        <v>315</v>
      </c>
      <c r="C179" s="1">
        <v>45711.343007002317</v>
      </c>
      <c r="D179" t="s">
        <v>29</v>
      </c>
      <c r="E179">
        <v>20.99</v>
      </c>
      <c r="I179" s="17" t="s">
        <v>645</v>
      </c>
      <c r="J179" s="18">
        <v>82.656990740739275</v>
      </c>
      <c r="K179" s="17">
        <v>2</v>
      </c>
      <c r="L179" s="17">
        <v>32.299999999999997</v>
      </c>
      <c r="M179" s="17" cm="1">
        <f t="array" ref="M179">_xlfn.IFS(AND(J179&gt;=65,J179&lt;=141),5,AND(J179&gt;141,J179&lt;=213),4,AND(J179&gt;213,J179&lt;=285),3,AND(J179&gt;285,J179&lt;=357),2,AND(J179&gt;357,J179&lt;=430),1)</f>
        <v>5</v>
      </c>
      <c r="N179" s="17" cm="1">
        <f t="array" ref="N179">_xlfn.IFS(AND(K179&gt;=1,K179&lt;=2),1,AND(K179&gt;=3,K179&lt;=4),2,AND(K179&gt;=5,K179&lt;=6),3,AND(K179&gt;=6,K179&lt;=9),4,AND(K179&gt;=10,K179&lt;=12),5)</f>
        <v>1</v>
      </c>
      <c r="O179" s="17" cm="1">
        <f t="array" ref="O179">_xlfn.IFS(AND(L179&gt;=4.1,L179&lt;=41.49),1,AND(L179&gt;=41.5,L179&lt;=78.86),2,AND(L179&gt;=78.87,L179&lt;=116.23),3,AND(L179&gt;=116.24,L179&lt;=153.6),4,AND(L179&gt;=153.61,L179&lt;=190.97),5)</f>
        <v>1</v>
      </c>
      <c r="P179" s="17">
        <f t="shared" si="2"/>
        <v>7</v>
      </c>
      <c r="Q179" s="17" t="str" cm="1">
        <f t="array" ref="Q179">_xlfn.IFS(P179&gt;=14,"Best Customers",AND(P179&gt;=10,P179&lt;14),"Loyal Customers",AND(P179&gt;=7,P179&lt;10),"Potential Customers",AND(P179&gt;=4,P179&lt;7),"Need Attention",P179&lt;4,"At Risk")</f>
        <v>Potential Customers</v>
      </c>
    </row>
    <row r="180" spans="1:17" x14ac:dyDescent="0.35">
      <c r="A180" t="s">
        <v>316</v>
      </c>
      <c r="B180" t="s">
        <v>317</v>
      </c>
      <c r="C180" s="1">
        <v>45828.343007002317</v>
      </c>
      <c r="D180" t="s">
        <v>29</v>
      </c>
      <c r="E180">
        <v>22.09</v>
      </c>
      <c r="I180" s="17" t="s">
        <v>752</v>
      </c>
      <c r="J180" s="18">
        <v>269.65699074073927</v>
      </c>
      <c r="K180" s="17">
        <v>2</v>
      </c>
      <c r="L180" s="17">
        <v>17.36</v>
      </c>
      <c r="M180" s="17" cm="1">
        <f t="array" ref="M180">_xlfn.IFS(AND(J180&gt;=65,J180&lt;=141),5,AND(J180&gt;141,J180&lt;=213),4,AND(J180&gt;213,J180&lt;=285),3,AND(J180&gt;285,J180&lt;=357),2,AND(J180&gt;357,J180&lt;=430),1)</f>
        <v>3</v>
      </c>
      <c r="N180" s="17" cm="1">
        <f t="array" ref="N180">_xlfn.IFS(AND(K180&gt;=1,K180&lt;=2),1,AND(K180&gt;=3,K180&lt;=4),2,AND(K180&gt;=5,K180&lt;=6),3,AND(K180&gt;=6,K180&lt;=9),4,AND(K180&gt;=10,K180&lt;=12),5)</f>
        <v>1</v>
      </c>
      <c r="O180" s="17" cm="1">
        <f t="array" ref="O180">_xlfn.IFS(AND(L180&gt;=4.1,L180&lt;=41.49),1,AND(L180&gt;=41.5,L180&lt;=78.86),2,AND(L180&gt;=78.87,L180&lt;=116.23),3,AND(L180&gt;=116.24,L180&lt;=153.6),4,AND(L180&gt;=153.61,L180&lt;=190.97),5)</f>
        <v>1</v>
      </c>
      <c r="P180" s="17">
        <f t="shared" si="2"/>
        <v>5</v>
      </c>
      <c r="Q180" s="17" t="str" cm="1">
        <f t="array" ref="Q180">_xlfn.IFS(P180&gt;=14,"Best Customers",AND(P180&gt;=10,P180&lt;14),"Loyal Customers",AND(P180&gt;=7,P180&lt;10),"Potential Customers",AND(P180&gt;=4,P180&lt;7),"Need Attention",P180&lt;4,"At Risk")</f>
        <v>Need Attention</v>
      </c>
    </row>
    <row r="181" spans="1:17" x14ac:dyDescent="0.35">
      <c r="A181" t="s">
        <v>318</v>
      </c>
      <c r="B181" t="s">
        <v>233</v>
      </c>
      <c r="C181" s="1">
        <v>45854.343007002317</v>
      </c>
      <c r="D181" t="s">
        <v>10</v>
      </c>
      <c r="E181">
        <v>17.55</v>
      </c>
      <c r="I181" s="17" t="s">
        <v>514</v>
      </c>
      <c r="J181" s="18">
        <v>196.65699074073927</v>
      </c>
      <c r="K181" s="17">
        <v>2</v>
      </c>
      <c r="L181" s="17">
        <v>33.97</v>
      </c>
      <c r="M181" s="17" cm="1">
        <f t="array" ref="M181">_xlfn.IFS(AND(J181&gt;=65,J181&lt;=141),5,AND(J181&gt;141,J181&lt;=213),4,AND(J181&gt;213,J181&lt;=285),3,AND(J181&gt;285,J181&lt;=357),2,AND(J181&gt;357,J181&lt;=430),1)</f>
        <v>4</v>
      </c>
      <c r="N181" s="17" cm="1">
        <f t="array" ref="N181">_xlfn.IFS(AND(K181&gt;=1,K181&lt;=2),1,AND(K181&gt;=3,K181&lt;=4),2,AND(K181&gt;=5,K181&lt;=6),3,AND(K181&gt;=6,K181&lt;=9),4,AND(K181&gt;=10,K181&lt;=12),5)</f>
        <v>1</v>
      </c>
      <c r="O181" s="17" cm="1">
        <f t="array" ref="O181">_xlfn.IFS(AND(L181&gt;=4.1,L181&lt;=41.49),1,AND(L181&gt;=41.5,L181&lt;=78.86),2,AND(L181&gt;=78.87,L181&lt;=116.23),3,AND(L181&gt;=116.24,L181&lt;=153.6),4,AND(L181&gt;=153.61,L181&lt;=190.97),5)</f>
        <v>1</v>
      </c>
      <c r="P181" s="17">
        <f t="shared" si="2"/>
        <v>6</v>
      </c>
      <c r="Q181" s="17" t="str" cm="1">
        <f t="array" ref="Q181">_xlfn.IFS(P181&gt;=14,"Best Customers",AND(P181&gt;=10,P181&lt;14),"Loyal Customers",AND(P181&gt;=7,P181&lt;10),"Potential Customers",AND(P181&gt;=4,P181&lt;7),"Need Attention",P181&lt;4,"At Risk")</f>
        <v>Need Attention</v>
      </c>
    </row>
    <row r="182" spans="1:17" x14ac:dyDescent="0.35">
      <c r="A182" t="s">
        <v>319</v>
      </c>
      <c r="B182" t="s">
        <v>78</v>
      </c>
      <c r="C182" s="1">
        <v>45954.343007002317</v>
      </c>
      <c r="D182" t="s">
        <v>13</v>
      </c>
      <c r="E182">
        <v>11.59</v>
      </c>
      <c r="I182" s="17" t="s">
        <v>396</v>
      </c>
      <c r="J182" s="18">
        <v>109.65699074073927</v>
      </c>
      <c r="K182" s="17">
        <v>5</v>
      </c>
      <c r="L182" s="17">
        <v>60.47</v>
      </c>
      <c r="M182" s="17" cm="1">
        <f t="array" ref="M182">_xlfn.IFS(AND(J182&gt;=65,J182&lt;=141),5,AND(J182&gt;141,J182&lt;=213),4,AND(J182&gt;213,J182&lt;=285),3,AND(J182&gt;285,J182&lt;=357),2,AND(J182&gt;357,J182&lt;=430),1)</f>
        <v>5</v>
      </c>
      <c r="N182" s="17" cm="1">
        <f t="array" ref="N182">_xlfn.IFS(AND(K182&gt;=1,K182&lt;=2),1,AND(K182&gt;=3,K182&lt;=4),2,AND(K182&gt;=5,K182&lt;=6),3,AND(K182&gt;=6,K182&lt;=9),4,AND(K182&gt;=10,K182&lt;=12),5)</f>
        <v>3</v>
      </c>
      <c r="O182" s="17" cm="1">
        <f t="array" ref="O182">_xlfn.IFS(AND(L182&gt;=4.1,L182&lt;=41.49),1,AND(L182&gt;=41.5,L182&lt;=78.86),2,AND(L182&gt;=78.87,L182&lt;=116.23),3,AND(L182&gt;=116.24,L182&lt;=153.6),4,AND(L182&gt;=153.61,L182&lt;=190.97),5)</f>
        <v>2</v>
      </c>
      <c r="P182" s="17">
        <f t="shared" si="2"/>
        <v>10</v>
      </c>
      <c r="Q182" s="17" t="str" cm="1">
        <f t="array" ref="Q182">_xlfn.IFS(P182&gt;=14,"Best Customers",AND(P182&gt;=10,P182&lt;14),"Loyal Customers",AND(P182&gt;=7,P182&lt;10),"Potential Customers",AND(P182&gt;=4,P182&lt;7),"Need Attention",P182&lt;4,"At Risk")</f>
        <v>Loyal Customers</v>
      </c>
    </row>
    <row r="183" spans="1:17" x14ac:dyDescent="0.35">
      <c r="A183" t="s">
        <v>320</v>
      </c>
      <c r="B183" t="s">
        <v>321</v>
      </c>
      <c r="C183" s="1">
        <v>45793.343007002317</v>
      </c>
      <c r="D183" t="s">
        <v>10</v>
      </c>
      <c r="E183">
        <v>14.37</v>
      </c>
      <c r="I183" s="17" t="s">
        <v>296</v>
      </c>
      <c r="J183" s="18">
        <v>326.65699074073927</v>
      </c>
      <c r="K183" s="17">
        <v>1</v>
      </c>
      <c r="L183" s="17">
        <v>17.079999999999998</v>
      </c>
      <c r="M183" s="17" cm="1">
        <f t="array" ref="M183">_xlfn.IFS(AND(J183&gt;=65,J183&lt;=141),5,AND(J183&gt;141,J183&lt;=213),4,AND(J183&gt;213,J183&lt;=285),3,AND(J183&gt;285,J183&lt;=357),2,AND(J183&gt;357,J183&lt;=430),1)</f>
        <v>2</v>
      </c>
      <c r="N183" s="17" cm="1">
        <f t="array" ref="N183">_xlfn.IFS(AND(K183&gt;=1,K183&lt;=2),1,AND(K183&gt;=3,K183&lt;=4),2,AND(K183&gt;=5,K183&lt;=6),3,AND(K183&gt;=6,K183&lt;=9),4,AND(K183&gt;=10,K183&lt;=12),5)</f>
        <v>1</v>
      </c>
      <c r="O183" s="17" cm="1">
        <f t="array" ref="O183">_xlfn.IFS(AND(L183&gt;=4.1,L183&lt;=41.49),1,AND(L183&gt;=41.5,L183&lt;=78.86),2,AND(L183&gt;=78.87,L183&lt;=116.23),3,AND(L183&gt;=116.24,L183&lt;=153.6),4,AND(L183&gt;=153.61,L183&lt;=190.97),5)</f>
        <v>1</v>
      </c>
      <c r="P183" s="17">
        <f t="shared" si="2"/>
        <v>4</v>
      </c>
      <c r="Q183" s="17" t="str" cm="1">
        <f t="array" ref="Q183">_xlfn.IFS(P183&gt;=14,"Best Customers",AND(P183&gt;=10,P183&lt;14),"Loyal Customers",AND(P183&gt;=7,P183&lt;10),"Potential Customers",AND(P183&gt;=4,P183&lt;7),"Need Attention",P183&lt;4,"At Risk")</f>
        <v>Need Attention</v>
      </c>
    </row>
    <row r="184" spans="1:17" x14ac:dyDescent="0.35">
      <c r="A184" t="s">
        <v>322</v>
      </c>
      <c r="B184" t="s">
        <v>323</v>
      </c>
      <c r="C184" s="1">
        <v>45732.343007002317</v>
      </c>
      <c r="D184" t="s">
        <v>16</v>
      </c>
      <c r="E184">
        <v>9.25</v>
      </c>
      <c r="I184" s="17" t="s">
        <v>491</v>
      </c>
      <c r="J184" s="18">
        <v>240.65699074073927</v>
      </c>
      <c r="K184" s="17">
        <v>1</v>
      </c>
      <c r="L184" s="17">
        <v>33.44</v>
      </c>
      <c r="M184" s="17" cm="1">
        <f t="array" ref="M184">_xlfn.IFS(AND(J184&gt;=65,J184&lt;=141),5,AND(J184&gt;141,J184&lt;=213),4,AND(J184&gt;213,J184&lt;=285),3,AND(J184&gt;285,J184&lt;=357),2,AND(J184&gt;357,J184&lt;=430),1)</f>
        <v>3</v>
      </c>
      <c r="N184" s="17" cm="1">
        <f t="array" ref="N184">_xlfn.IFS(AND(K184&gt;=1,K184&lt;=2),1,AND(K184&gt;=3,K184&lt;=4),2,AND(K184&gt;=5,K184&lt;=6),3,AND(K184&gt;=6,K184&lt;=9),4,AND(K184&gt;=10,K184&lt;=12),5)</f>
        <v>1</v>
      </c>
      <c r="O184" s="17" cm="1">
        <f t="array" ref="O184">_xlfn.IFS(AND(L184&gt;=4.1,L184&lt;=41.49),1,AND(L184&gt;=41.5,L184&lt;=78.86),2,AND(L184&gt;=78.87,L184&lt;=116.23),3,AND(L184&gt;=116.24,L184&lt;=153.6),4,AND(L184&gt;=153.61,L184&lt;=190.97),5)</f>
        <v>1</v>
      </c>
      <c r="P184" s="17">
        <f t="shared" si="2"/>
        <v>5</v>
      </c>
      <c r="Q184" s="17" t="str" cm="1">
        <f t="array" ref="Q184">_xlfn.IFS(P184&gt;=14,"Best Customers",AND(P184&gt;=10,P184&lt;14),"Loyal Customers",AND(P184&gt;=7,P184&lt;10),"Potential Customers",AND(P184&gt;=4,P184&lt;7),"Need Attention",P184&lt;4,"At Risk")</f>
        <v>Need Attention</v>
      </c>
    </row>
    <row r="185" spans="1:17" x14ac:dyDescent="0.35">
      <c r="A185" t="s">
        <v>324</v>
      </c>
      <c r="B185" t="s">
        <v>325</v>
      </c>
      <c r="C185" s="1">
        <v>45913.343007002317</v>
      </c>
      <c r="D185" t="s">
        <v>16</v>
      </c>
      <c r="E185">
        <v>8.59</v>
      </c>
      <c r="I185" s="17" t="s">
        <v>774</v>
      </c>
      <c r="J185" s="18">
        <v>132.65699074073927</v>
      </c>
      <c r="K185" s="17">
        <v>1</v>
      </c>
      <c r="L185" s="17">
        <v>16.14</v>
      </c>
      <c r="M185" s="17" cm="1">
        <f t="array" ref="M185">_xlfn.IFS(AND(J185&gt;=65,J185&lt;=141),5,AND(J185&gt;141,J185&lt;=213),4,AND(J185&gt;213,J185&lt;=285),3,AND(J185&gt;285,J185&lt;=357),2,AND(J185&gt;357,J185&lt;=430),1)</f>
        <v>5</v>
      </c>
      <c r="N185" s="17" cm="1">
        <f t="array" ref="N185">_xlfn.IFS(AND(K185&gt;=1,K185&lt;=2),1,AND(K185&gt;=3,K185&lt;=4),2,AND(K185&gt;=5,K185&lt;=6),3,AND(K185&gt;=6,K185&lt;=9),4,AND(K185&gt;=10,K185&lt;=12),5)</f>
        <v>1</v>
      </c>
      <c r="O185" s="17" cm="1">
        <f t="array" ref="O185">_xlfn.IFS(AND(L185&gt;=4.1,L185&lt;=41.49),1,AND(L185&gt;=41.5,L185&lt;=78.86),2,AND(L185&gt;=78.87,L185&lt;=116.23),3,AND(L185&gt;=116.24,L185&lt;=153.6),4,AND(L185&gt;=153.61,L185&lt;=190.97),5)</f>
        <v>1</v>
      </c>
      <c r="P185" s="17">
        <f t="shared" si="2"/>
        <v>7</v>
      </c>
      <c r="Q185" s="17" t="str" cm="1">
        <f t="array" ref="Q185">_xlfn.IFS(P185&gt;=14,"Best Customers",AND(P185&gt;=10,P185&lt;14),"Loyal Customers",AND(P185&gt;=7,P185&lt;10),"Potential Customers",AND(P185&gt;=4,P185&lt;7),"Need Attention",P185&lt;4,"At Risk")</f>
        <v>Potential Customers</v>
      </c>
    </row>
    <row r="186" spans="1:17" x14ac:dyDescent="0.35">
      <c r="A186" t="s">
        <v>326</v>
      </c>
      <c r="B186" t="s">
        <v>327</v>
      </c>
      <c r="C186" s="1">
        <v>45760.343007002317</v>
      </c>
      <c r="D186" t="s">
        <v>7</v>
      </c>
      <c r="E186">
        <v>39.81</v>
      </c>
      <c r="I186" s="17" t="s">
        <v>823</v>
      </c>
      <c r="J186" s="18">
        <v>115.65699074073927</v>
      </c>
      <c r="K186" s="17">
        <v>3</v>
      </c>
      <c r="L186" s="17">
        <v>33.65</v>
      </c>
      <c r="M186" s="17" cm="1">
        <f t="array" ref="M186">_xlfn.IFS(AND(J186&gt;=65,J186&lt;=141),5,AND(J186&gt;141,J186&lt;=213),4,AND(J186&gt;213,J186&lt;=285),3,AND(J186&gt;285,J186&lt;=357),2,AND(J186&gt;357,J186&lt;=430),1)</f>
        <v>5</v>
      </c>
      <c r="N186" s="17" cm="1">
        <f t="array" ref="N186">_xlfn.IFS(AND(K186&gt;=1,K186&lt;=2),1,AND(K186&gt;=3,K186&lt;=4),2,AND(K186&gt;=5,K186&lt;=6),3,AND(K186&gt;=6,K186&lt;=9),4,AND(K186&gt;=10,K186&lt;=12),5)</f>
        <v>2</v>
      </c>
      <c r="O186" s="17" cm="1">
        <f t="array" ref="O186">_xlfn.IFS(AND(L186&gt;=4.1,L186&lt;=41.49),1,AND(L186&gt;=41.5,L186&lt;=78.86),2,AND(L186&gt;=78.87,L186&lt;=116.23),3,AND(L186&gt;=116.24,L186&lt;=153.6),4,AND(L186&gt;=153.61,L186&lt;=190.97),5)</f>
        <v>1</v>
      </c>
      <c r="P186" s="17">
        <f t="shared" si="2"/>
        <v>8</v>
      </c>
      <c r="Q186" s="17" t="str" cm="1">
        <f t="array" ref="Q186">_xlfn.IFS(P186&gt;=14,"Best Customers",AND(P186&gt;=10,P186&lt;14),"Loyal Customers",AND(P186&gt;=7,P186&lt;10),"Potential Customers",AND(P186&gt;=4,P186&lt;7),"Need Attention",P186&lt;4,"At Risk")</f>
        <v>Potential Customers</v>
      </c>
    </row>
    <row r="187" spans="1:17" x14ac:dyDescent="0.35">
      <c r="A187" t="s">
        <v>328</v>
      </c>
      <c r="B187" t="s">
        <v>329</v>
      </c>
      <c r="C187" s="1">
        <v>45820.343007002317</v>
      </c>
      <c r="D187" t="s">
        <v>16</v>
      </c>
      <c r="E187">
        <v>8.52</v>
      </c>
      <c r="I187" s="17" t="s">
        <v>500</v>
      </c>
      <c r="J187" s="18">
        <v>201.65699074073927</v>
      </c>
      <c r="K187" s="17">
        <v>4</v>
      </c>
      <c r="L187" s="17">
        <v>58.100000000000009</v>
      </c>
      <c r="M187" s="17" cm="1">
        <f t="array" ref="M187">_xlfn.IFS(AND(J187&gt;=65,J187&lt;=141),5,AND(J187&gt;141,J187&lt;=213),4,AND(J187&gt;213,J187&lt;=285),3,AND(J187&gt;285,J187&lt;=357),2,AND(J187&gt;357,J187&lt;=430),1)</f>
        <v>4</v>
      </c>
      <c r="N187" s="17" cm="1">
        <f t="array" ref="N187">_xlfn.IFS(AND(K187&gt;=1,K187&lt;=2),1,AND(K187&gt;=3,K187&lt;=4),2,AND(K187&gt;=5,K187&lt;=6),3,AND(K187&gt;=6,K187&lt;=9),4,AND(K187&gt;=10,K187&lt;=12),5)</f>
        <v>2</v>
      </c>
      <c r="O187" s="17" cm="1">
        <f t="array" ref="O187">_xlfn.IFS(AND(L187&gt;=4.1,L187&lt;=41.49),1,AND(L187&gt;=41.5,L187&lt;=78.86),2,AND(L187&gt;=78.87,L187&lt;=116.23),3,AND(L187&gt;=116.24,L187&lt;=153.6),4,AND(L187&gt;=153.61,L187&lt;=190.97),5)</f>
        <v>2</v>
      </c>
      <c r="P187" s="17">
        <f t="shared" si="2"/>
        <v>8</v>
      </c>
      <c r="Q187" s="17" t="str" cm="1">
        <f t="array" ref="Q187">_xlfn.IFS(P187&gt;=14,"Best Customers",AND(P187&gt;=10,P187&lt;14),"Loyal Customers",AND(P187&gt;=7,P187&lt;10),"Potential Customers",AND(P187&gt;=4,P187&lt;7),"Need Attention",P187&lt;4,"At Risk")</f>
        <v>Potential Customers</v>
      </c>
    </row>
    <row r="188" spans="1:17" x14ac:dyDescent="0.35">
      <c r="A188" t="s">
        <v>330</v>
      </c>
      <c r="B188" t="s">
        <v>331</v>
      </c>
      <c r="C188" s="1">
        <v>45902.343007002317</v>
      </c>
      <c r="D188" t="s">
        <v>7</v>
      </c>
      <c r="E188">
        <v>45.37</v>
      </c>
      <c r="I188" s="17" t="s">
        <v>323</v>
      </c>
      <c r="J188" s="18">
        <v>291.65699074073927</v>
      </c>
      <c r="K188" s="17">
        <v>2</v>
      </c>
      <c r="L188" s="17">
        <v>19.810000000000002</v>
      </c>
      <c r="M188" s="17" cm="1">
        <f t="array" ref="M188">_xlfn.IFS(AND(J188&gt;=65,J188&lt;=141),5,AND(J188&gt;141,J188&lt;=213),4,AND(J188&gt;213,J188&lt;=285),3,AND(J188&gt;285,J188&lt;=357),2,AND(J188&gt;357,J188&lt;=430),1)</f>
        <v>2</v>
      </c>
      <c r="N188" s="17" cm="1">
        <f t="array" ref="N188">_xlfn.IFS(AND(K188&gt;=1,K188&lt;=2),1,AND(K188&gt;=3,K188&lt;=4),2,AND(K188&gt;=5,K188&lt;=6),3,AND(K188&gt;=6,K188&lt;=9),4,AND(K188&gt;=10,K188&lt;=12),5)</f>
        <v>1</v>
      </c>
      <c r="O188" s="17" cm="1">
        <f t="array" ref="O188">_xlfn.IFS(AND(L188&gt;=4.1,L188&lt;=41.49),1,AND(L188&gt;=41.5,L188&lt;=78.86),2,AND(L188&gt;=78.87,L188&lt;=116.23),3,AND(L188&gt;=116.24,L188&lt;=153.6),4,AND(L188&gt;=153.61,L188&lt;=190.97),5)</f>
        <v>1</v>
      </c>
      <c r="P188" s="17">
        <f t="shared" si="2"/>
        <v>4</v>
      </c>
      <c r="Q188" s="17" t="str" cm="1">
        <f t="array" ref="Q188">_xlfn.IFS(P188&gt;=14,"Best Customers",AND(P188&gt;=10,P188&lt;14),"Loyal Customers",AND(P188&gt;=7,P188&lt;10),"Potential Customers",AND(P188&gt;=4,P188&lt;7),"Need Attention",P188&lt;4,"At Risk")</f>
        <v>Need Attention</v>
      </c>
    </row>
    <row r="189" spans="1:17" x14ac:dyDescent="0.35">
      <c r="A189" t="s">
        <v>332</v>
      </c>
      <c r="B189" t="s">
        <v>82</v>
      </c>
      <c r="C189" s="1">
        <v>45829.343007002317</v>
      </c>
      <c r="D189" t="s">
        <v>50</v>
      </c>
      <c r="E189">
        <v>4.74</v>
      </c>
      <c r="I189" s="17" t="s">
        <v>407</v>
      </c>
      <c r="J189" s="18">
        <v>77.656990740739275</v>
      </c>
      <c r="K189" s="17">
        <v>4</v>
      </c>
      <c r="L189" s="17">
        <v>52.35</v>
      </c>
      <c r="M189" s="17" cm="1">
        <f t="array" ref="M189">_xlfn.IFS(AND(J189&gt;=65,J189&lt;=141),5,AND(J189&gt;141,J189&lt;=213),4,AND(J189&gt;213,J189&lt;=285),3,AND(J189&gt;285,J189&lt;=357),2,AND(J189&gt;357,J189&lt;=430),1)</f>
        <v>5</v>
      </c>
      <c r="N189" s="17" cm="1">
        <f t="array" ref="N189">_xlfn.IFS(AND(K189&gt;=1,K189&lt;=2),1,AND(K189&gt;=3,K189&lt;=4),2,AND(K189&gt;=5,K189&lt;=6),3,AND(K189&gt;=6,K189&lt;=9),4,AND(K189&gt;=10,K189&lt;=12),5)</f>
        <v>2</v>
      </c>
      <c r="O189" s="17" cm="1">
        <f t="array" ref="O189">_xlfn.IFS(AND(L189&gt;=4.1,L189&lt;=41.49),1,AND(L189&gt;=41.5,L189&lt;=78.86),2,AND(L189&gt;=78.87,L189&lt;=116.23),3,AND(L189&gt;=116.24,L189&lt;=153.6),4,AND(L189&gt;=153.61,L189&lt;=190.97),5)</f>
        <v>2</v>
      </c>
      <c r="P189" s="17">
        <f t="shared" si="2"/>
        <v>9</v>
      </c>
      <c r="Q189" s="17" t="str" cm="1">
        <f t="array" ref="Q189">_xlfn.IFS(P189&gt;=14,"Best Customers",AND(P189&gt;=10,P189&lt;14),"Loyal Customers",AND(P189&gt;=7,P189&lt;10),"Potential Customers",AND(P189&gt;=4,P189&lt;7),"Need Attention",P189&lt;4,"At Risk")</f>
        <v>Potential Customers</v>
      </c>
    </row>
    <row r="190" spans="1:17" x14ac:dyDescent="0.35">
      <c r="A190" t="s">
        <v>333</v>
      </c>
      <c r="B190" t="s">
        <v>334</v>
      </c>
      <c r="C190" s="1">
        <v>45767.343007002317</v>
      </c>
      <c r="D190" t="s">
        <v>10</v>
      </c>
      <c r="E190">
        <v>14.25</v>
      </c>
      <c r="I190" s="17" t="s">
        <v>145</v>
      </c>
      <c r="J190" s="18">
        <v>217.65699074073927</v>
      </c>
      <c r="K190" s="17">
        <v>2</v>
      </c>
      <c r="L190" s="17">
        <v>23.36</v>
      </c>
      <c r="M190" s="17" cm="1">
        <f t="array" ref="M190">_xlfn.IFS(AND(J190&gt;=65,J190&lt;=141),5,AND(J190&gt;141,J190&lt;=213),4,AND(J190&gt;213,J190&lt;=285),3,AND(J190&gt;285,J190&lt;=357),2,AND(J190&gt;357,J190&lt;=430),1)</f>
        <v>3</v>
      </c>
      <c r="N190" s="17" cm="1">
        <f t="array" ref="N190">_xlfn.IFS(AND(K190&gt;=1,K190&lt;=2),1,AND(K190&gt;=3,K190&lt;=4),2,AND(K190&gt;=5,K190&lt;=6),3,AND(K190&gt;=6,K190&lt;=9),4,AND(K190&gt;=10,K190&lt;=12),5)</f>
        <v>1</v>
      </c>
      <c r="O190" s="17" cm="1">
        <f t="array" ref="O190">_xlfn.IFS(AND(L190&gt;=4.1,L190&lt;=41.49),1,AND(L190&gt;=41.5,L190&lt;=78.86),2,AND(L190&gt;=78.87,L190&lt;=116.23),3,AND(L190&gt;=116.24,L190&lt;=153.6),4,AND(L190&gt;=153.61,L190&lt;=190.97),5)</f>
        <v>1</v>
      </c>
      <c r="P190" s="17">
        <f t="shared" si="2"/>
        <v>5</v>
      </c>
      <c r="Q190" s="17" t="str" cm="1">
        <f t="array" ref="Q190">_xlfn.IFS(P190&gt;=14,"Best Customers",AND(P190&gt;=10,P190&lt;14),"Loyal Customers",AND(P190&gt;=7,P190&lt;10),"Potential Customers",AND(P190&gt;=4,P190&lt;7),"Need Attention",P190&lt;4,"At Risk")</f>
        <v>Need Attention</v>
      </c>
    </row>
    <row r="191" spans="1:17" x14ac:dyDescent="0.35">
      <c r="A191" t="s">
        <v>335</v>
      </c>
      <c r="B191" t="s">
        <v>241</v>
      </c>
      <c r="C191" s="1">
        <v>45747.343007002317</v>
      </c>
      <c r="D191" t="s">
        <v>50</v>
      </c>
      <c r="E191">
        <v>4.95</v>
      </c>
      <c r="I191" s="17" t="s">
        <v>402</v>
      </c>
      <c r="J191" s="18">
        <v>194.65699074073927</v>
      </c>
      <c r="K191" s="17">
        <v>1</v>
      </c>
      <c r="L191" s="17">
        <v>4.26</v>
      </c>
      <c r="M191" s="17" cm="1">
        <f t="array" ref="M191">_xlfn.IFS(AND(J191&gt;=65,J191&lt;=141),5,AND(J191&gt;141,J191&lt;=213),4,AND(J191&gt;213,J191&lt;=285),3,AND(J191&gt;285,J191&lt;=357),2,AND(J191&gt;357,J191&lt;=430),1)</f>
        <v>4</v>
      </c>
      <c r="N191" s="17" cm="1">
        <f t="array" ref="N191">_xlfn.IFS(AND(K191&gt;=1,K191&lt;=2),1,AND(K191&gt;=3,K191&lt;=4),2,AND(K191&gt;=5,K191&lt;=6),3,AND(K191&gt;=6,K191&lt;=9),4,AND(K191&gt;=10,K191&lt;=12),5)</f>
        <v>1</v>
      </c>
      <c r="O191" s="17" cm="1">
        <f t="array" ref="O191">_xlfn.IFS(AND(L191&gt;=4.1,L191&lt;=41.49),1,AND(L191&gt;=41.5,L191&lt;=78.86),2,AND(L191&gt;=78.87,L191&lt;=116.23),3,AND(L191&gt;=116.24,L191&lt;=153.6),4,AND(L191&gt;=153.61,L191&lt;=190.97),5)</f>
        <v>1</v>
      </c>
      <c r="P191" s="17">
        <f t="shared" si="2"/>
        <v>6</v>
      </c>
      <c r="Q191" s="17" t="str" cm="1">
        <f t="array" ref="Q191">_xlfn.IFS(P191&gt;=14,"Best Customers",AND(P191&gt;=10,P191&lt;14),"Loyal Customers",AND(P191&gt;=7,P191&lt;10),"Potential Customers",AND(P191&gt;=4,P191&lt;7),"Need Attention",P191&lt;4,"At Risk")</f>
        <v>Need Attention</v>
      </c>
    </row>
    <row r="192" spans="1:17" x14ac:dyDescent="0.35">
      <c r="A192" t="s">
        <v>336</v>
      </c>
      <c r="B192" t="s">
        <v>337</v>
      </c>
      <c r="C192" s="1">
        <v>45910.343007002317</v>
      </c>
      <c r="D192" t="s">
        <v>16</v>
      </c>
      <c r="E192">
        <v>9.7799999999999994</v>
      </c>
      <c r="I192" s="17" t="s">
        <v>120</v>
      </c>
      <c r="J192" s="18">
        <v>111.65699074073927</v>
      </c>
      <c r="K192" s="17">
        <v>5</v>
      </c>
      <c r="L192" s="17">
        <v>61.879999999999995</v>
      </c>
      <c r="M192" s="17" cm="1">
        <f t="array" ref="M192">_xlfn.IFS(AND(J192&gt;=65,J192&lt;=141),5,AND(J192&gt;141,J192&lt;=213),4,AND(J192&gt;213,J192&lt;=285),3,AND(J192&gt;285,J192&lt;=357),2,AND(J192&gt;357,J192&lt;=430),1)</f>
        <v>5</v>
      </c>
      <c r="N192" s="17" cm="1">
        <f t="array" ref="N192">_xlfn.IFS(AND(K192&gt;=1,K192&lt;=2),1,AND(K192&gt;=3,K192&lt;=4),2,AND(K192&gt;=5,K192&lt;=6),3,AND(K192&gt;=6,K192&lt;=9),4,AND(K192&gt;=10,K192&lt;=12),5)</f>
        <v>3</v>
      </c>
      <c r="O192" s="17" cm="1">
        <f t="array" ref="O192">_xlfn.IFS(AND(L192&gt;=4.1,L192&lt;=41.49),1,AND(L192&gt;=41.5,L192&lt;=78.86),2,AND(L192&gt;=78.87,L192&lt;=116.23),3,AND(L192&gt;=116.24,L192&lt;=153.6),4,AND(L192&gt;=153.61,L192&lt;=190.97),5)</f>
        <v>2</v>
      </c>
      <c r="P192" s="17">
        <f t="shared" si="2"/>
        <v>10</v>
      </c>
      <c r="Q192" s="17" t="str" cm="1">
        <f t="array" ref="Q192">_xlfn.IFS(P192&gt;=14,"Best Customers",AND(P192&gt;=10,P192&lt;14),"Loyal Customers",AND(P192&gt;=7,P192&lt;10),"Potential Customers",AND(P192&gt;=4,P192&lt;7),"Need Attention",P192&lt;4,"At Risk")</f>
        <v>Loyal Customers</v>
      </c>
    </row>
    <row r="193" spans="1:17" x14ac:dyDescent="0.35">
      <c r="A193" t="s">
        <v>338</v>
      </c>
      <c r="B193" t="s">
        <v>98</v>
      </c>
      <c r="C193" s="1">
        <v>45755.343007002317</v>
      </c>
      <c r="D193" t="s">
        <v>50</v>
      </c>
      <c r="E193">
        <v>5.99</v>
      </c>
      <c r="I193" s="17" t="s">
        <v>592</v>
      </c>
      <c r="J193" s="18">
        <v>122.65699074073927</v>
      </c>
      <c r="K193" s="17">
        <v>4</v>
      </c>
      <c r="L193" s="17">
        <v>41.640000000000008</v>
      </c>
      <c r="M193" s="17" cm="1">
        <f t="array" ref="M193">_xlfn.IFS(AND(J193&gt;=65,J193&lt;=141),5,AND(J193&gt;141,J193&lt;=213),4,AND(J193&gt;213,J193&lt;=285),3,AND(J193&gt;285,J193&lt;=357),2,AND(J193&gt;357,J193&lt;=430),1)</f>
        <v>5</v>
      </c>
      <c r="N193" s="17" cm="1">
        <f t="array" ref="N193">_xlfn.IFS(AND(K193&gt;=1,K193&lt;=2),1,AND(K193&gt;=3,K193&lt;=4),2,AND(K193&gt;=5,K193&lt;=6),3,AND(K193&gt;=6,K193&lt;=9),4,AND(K193&gt;=10,K193&lt;=12),5)</f>
        <v>2</v>
      </c>
      <c r="O193" s="17" cm="1">
        <f t="array" ref="O193">_xlfn.IFS(AND(L193&gt;=4.1,L193&lt;=41.49),1,AND(L193&gt;=41.5,L193&lt;=78.86),2,AND(L193&gt;=78.87,L193&lt;=116.23),3,AND(L193&gt;=116.24,L193&lt;=153.6),4,AND(L193&gt;=153.61,L193&lt;=190.97),5)</f>
        <v>2</v>
      </c>
      <c r="P193" s="17">
        <f t="shared" si="2"/>
        <v>9</v>
      </c>
      <c r="Q193" s="17" t="str" cm="1">
        <f t="array" ref="Q193">_xlfn.IFS(P193&gt;=14,"Best Customers",AND(P193&gt;=10,P193&lt;14),"Loyal Customers",AND(P193&gt;=7,P193&lt;10),"Potential Customers",AND(P193&gt;=4,P193&lt;7),"Need Attention",P193&lt;4,"At Risk")</f>
        <v>Potential Customers</v>
      </c>
    </row>
    <row r="194" spans="1:17" x14ac:dyDescent="0.35">
      <c r="A194" t="s">
        <v>339</v>
      </c>
      <c r="B194" t="s">
        <v>340</v>
      </c>
      <c r="C194" s="1">
        <v>45691.343007002317</v>
      </c>
      <c r="D194" t="s">
        <v>50</v>
      </c>
      <c r="E194">
        <v>5.09</v>
      </c>
      <c r="I194" s="17" t="s">
        <v>197</v>
      </c>
      <c r="J194" s="18">
        <v>74.656990740739275</v>
      </c>
      <c r="K194" s="17">
        <v>2</v>
      </c>
      <c r="L194" s="17">
        <v>45.68</v>
      </c>
      <c r="M194" s="17" cm="1">
        <f t="array" ref="M194">_xlfn.IFS(AND(J194&gt;=65,J194&lt;=141),5,AND(J194&gt;141,J194&lt;=213),4,AND(J194&gt;213,J194&lt;=285),3,AND(J194&gt;285,J194&lt;=357),2,AND(J194&gt;357,J194&lt;=430),1)</f>
        <v>5</v>
      </c>
      <c r="N194" s="17" cm="1">
        <f t="array" ref="N194">_xlfn.IFS(AND(K194&gt;=1,K194&lt;=2),1,AND(K194&gt;=3,K194&lt;=4),2,AND(K194&gt;=5,K194&lt;=6),3,AND(K194&gt;=6,K194&lt;=9),4,AND(K194&gt;=10,K194&lt;=12),5)</f>
        <v>1</v>
      </c>
      <c r="O194" s="17" cm="1">
        <f t="array" ref="O194">_xlfn.IFS(AND(L194&gt;=4.1,L194&lt;=41.49),1,AND(L194&gt;=41.5,L194&lt;=78.86),2,AND(L194&gt;=78.87,L194&lt;=116.23),3,AND(L194&gt;=116.24,L194&lt;=153.6),4,AND(L194&gt;=153.61,L194&lt;=190.97),5)</f>
        <v>2</v>
      </c>
      <c r="P194" s="17">
        <f t="shared" si="2"/>
        <v>8</v>
      </c>
      <c r="Q194" s="17" t="str" cm="1">
        <f t="array" ref="Q194">_xlfn.IFS(P194&gt;=14,"Best Customers",AND(P194&gt;=10,P194&lt;14),"Loyal Customers",AND(P194&gt;=7,P194&lt;10),"Potential Customers",AND(P194&gt;=4,P194&lt;7),"Need Attention",P194&lt;4,"At Risk")</f>
        <v>Potential Customers</v>
      </c>
    </row>
    <row r="195" spans="1:17" x14ac:dyDescent="0.35">
      <c r="A195" t="s">
        <v>341</v>
      </c>
      <c r="B195" t="s">
        <v>342</v>
      </c>
      <c r="C195" s="1">
        <v>45828.343007002317</v>
      </c>
      <c r="D195" t="s">
        <v>50</v>
      </c>
      <c r="E195">
        <v>4.18</v>
      </c>
      <c r="I195" s="17" t="s">
        <v>446</v>
      </c>
      <c r="J195" s="18">
        <v>88.656990740739275</v>
      </c>
      <c r="K195" s="17">
        <v>3</v>
      </c>
      <c r="L195" s="17">
        <v>26.67</v>
      </c>
      <c r="M195" s="17" cm="1">
        <f t="array" ref="M195">_xlfn.IFS(AND(J195&gt;=65,J195&lt;=141),5,AND(J195&gt;141,J195&lt;=213),4,AND(J195&gt;213,J195&lt;=285),3,AND(J195&gt;285,J195&lt;=357),2,AND(J195&gt;357,J195&lt;=430),1)</f>
        <v>5</v>
      </c>
      <c r="N195" s="17" cm="1">
        <f t="array" ref="N195">_xlfn.IFS(AND(K195&gt;=1,K195&lt;=2),1,AND(K195&gt;=3,K195&lt;=4),2,AND(K195&gt;=5,K195&lt;=6),3,AND(K195&gt;=6,K195&lt;=9),4,AND(K195&gt;=10,K195&lt;=12),5)</f>
        <v>2</v>
      </c>
      <c r="O195" s="17" cm="1">
        <f t="array" ref="O195">_xlfn.IFS(AND(L195&gt;=4.1,L195&lt;=41.49),1,AND(L195&gt;=41.5,L195&lt;=78.86),2,AND(L195&gt;=78.87,L195&lt;=116.23),3,AND(L195&gt;=116.24,L195&lt;=153.6),4,AND(L195&gt;=153.61,L195&lt;=190.97),5)</f>
        <v>1</v>
      </c>
      <c r="P195" s="17">
        <f t="shared" si="2"/>
        <v>8</v>
      </c>
      <c r="Q195" s="17" t="str" cm="1">
        <f t="array" ref="Q195">_xlfn.IFS(P195&gt;=14,"Best Customers",AND(P195&gt;=10,P195&lt;14),"Loyal Customers",AND(P195&gt;=7,P195&lt;10),"Potential Customers",AND(P195&gt;=4,P195&lt;7),"Need Attention",P195&lt;4,"At Risk")</f>
        <v>Potential Customers</v>
      </c>
    </row>
    <row r="196" spans="1:17" x14ac:dyDescent="0.35">
      <c r="A196" t="s">
        <v>343</v>
      </c>
      <c r="B196" t="s">
        <v>344</v>
      </c>
      <c r="C196" s="1">
        <v>45775.343007002317</v>
      </c>
      <c r="D196" t="s">
        <v>16</v>
      </c>
      <c r="E196">
        <v>10.43</v>
      </c>
      <c r="I196" s="17" t="s">
        <v>246</v>
      </c>
      <c r="J196" s="18">
        <v>82.656990740739275</v>
      </c>
      <c r="K196" s="17">
        <v>5</v>
      </c>
      <c r="L196" s="17">
        <v>85.24</v>
      </c>
      <c r="M196" s="17" cm="1">
        <f t="array" ref="M196">_xlfn.IFS(AND(J196&gt;=65,J196&lt;=141),5,AND(J196&gt;141,J196&lt;=213),4,AND(J196&gt;213,J196&lt;=285),3,AND(J196&gt;285,J196&lt;=357),2,AND(J196&gt;357,J196&lt;=430),1)</f>
        <v>5</v>
      </c>
      <c r="N196" s="17" cm="1">
        <f t="array" ref="N196">_xlfn.IFS(AND(K196&gt;=1,K196&lt;=2),1,AND(K196&gt;=3,K196&lt;=4),2,AND(K196&gt;=5,K196&lt;=6),3,AND(K196&gt;=6,K196&lt;=9),4,AND(K196&gt;=10,K196&lt;=12),5)</f>
        <v>3</v>
      </c>
      <c r="O196" s="17" cm="1">
        <f t="array" ref="O196">_xlfn.IFS(AND(L196&gt;=4.1,L196&lt;=41.49),1,AND(L196&gt;=41.5,L196&lt;=78.86),2,AND(L196&gt;=78.87,L196&lt;=116.23),3,AND(L196&gt;=116.24,L196&lt;=153.6),4,AND(L196&gt;=153.61,L196&lt;=190.97),5)</f>
        <v>3</v>
      </c>
      <c r="P196" s="17">
        <f t="shared" ref="P196:P259" si="3">SUM(M196:O196)</f>
        <v>11</v>
      </c>
      <c r="Q196" s="17" t="str" cm="1">
        <f t="array" ref="Q196">_xlfn.IFS(P196&gt;=14,"Best Customers",AND(P196&gt;=10,P196&lt;14),"Loyal Customers",AND(P196&gt;=7,P196&lt;10),"Potential Customers",AND(P196&gt;=4,P196&lt;7),"Need Attention",P196&lt;4,"At Risk")</f>
        <v>Loyal Customers</v>
      </c>
    </row>
    <row r="197" spans="1:17" x14ac:dyDescent="0.35">
      <c r="A197" t="s">
        <v>345</v>
      </c>
      <c r="B197" t="s">
        <v>241</v>
      </c>
      <c r="C197" s="1">
        <v>45708.343007002317</v>
      </c>
      <c r="D197" t="s">
        <v>13</v>
      </c>
      <c r="E197">
        <v>10.33</v>
      </c>
      <c r="I197" s="17" t="s">
        <v>1218</v>
      </c>
      <c r="J197" s="18">
        <v>325.65699074073927</v>
      </c>
      <c r="K197" s="17">
        <v>1</v>
      </c>
      <c r="L197" s="17">
        <v>8.8000000000000007</v>
      </c>
      <c r="M197" s="17" cm="1">
        <f t="array" ref="M197">_xlfn.IFS(AND(J197&gt;=65,J197&lt;=141),5,AND(J197&gt;141,J197&lt;=213),4,AND(J197&gt;213,J197&lt;=285),3,AND(J197&gt;285,J197&lt;=357),2,AND(J197&gt;357,J197&lt;=430),1)</f>
        <v>2</v>
      </c>
      <c r="N197" s="17" cm="1">
        <f t="array" ref="N197">_xlfn.IFS(AND(K197&gt;=1,K197&lt;=2),1,AND(K197&gt;=3,K197&lt;=4),2,AND(K197&gt;=5,K197&lt;=6),3,AND(K197&gt;=6,K197&lt;=9),4,AND(K197&gt;=10,K197&lt;=12),5)</f>
        <v>1</v>
      </c>
      <c r="O197" s="17" cm="1">
        <f t="array" ref="O197">_xlfn.IFS(AND(L197&gt;=4.1,L197&lt;=41.49),1,AND(L197&gt;=41.5,L197&lt;=78.86),2,AND(L197&gt;=78.87,L197&lt;=116.23),3,AND(L197&gt;=116.24,L197&lt;=153.6),4,AND(L197&gt;=153.61,L197&lt;=190.97),5)</f>
        <v>1</v>
      </c>
      <c r="P197" s="17">
        <f t="shared" si="3"/>
        <v>4</v>
      </c>
      <c r="Q197" s="17" t="str" cm="1">
        <f t="array" ref="Q197">_xlfn.IFS(P197&gt;=14,"Best Customers",AND(P197&gt;=10,P197&lt;14),"Loyal Customers",AND(P197&gt;=7,P197&lt;10),"Potential Customers",AND(P197&gt;=4,P197&lt;7),"Need Attention",P197&lt;4,"At Risk")</f>
        <v>Need Attention</v>
      </c>
    </row>
    <row r="198" spans="1:17" x14ac:dyDescent="0.35">
      <c r="A198" t="s">
        <v>346</v>
      </c>
      <c r="B198" t="s">
        <v>98</v>
      </c>
      <c r="C198" s="1">
        <v>45913.343007002317</v>
      </c>
      <c r="D198" t="s">
        <v>50</v>
      </c>
      <c r="E198">
        <v>4.0599999999999996</v>
      </c>
      <c r="I198" s="17" t="s">
        <v>836</v>
      </c>
      <c r="J198" s="18">
        <v>86.656990740739275</v>
      </c>
      <c r="K198" s="17">
        <v>3</v>
      </c>
      <c r="L198" s="17">
        <v>20.82</v>
      </c>
      <c r="M198" s="17" cm="1">
        <f t="array" ref="M198">_xlfn.IFS(AND(J198&gt;=65,J198&lt;=141),5,AND(J198&gt;141,J198&lt;=213),4,AND(J198&gt;213,J198&lt;=285),3,AND(J198&gt;285,J198&lt;=357),2,AND(J198&gt;357,J198&lt;=430),1)</f>
        <v>5</v>
      </c>
      <c r="N198" s="17" cm="1">
        <f t="array" ref="N198">_xlfn.IFS(AND(K198&gt;=1,K198&lt;=2),1,AND(K198&gt;=3,K198&lt;=4),2,AND(K198&gt;=5,K198&lt;=6),3,AND(K198&gt;=6,K198&lt;=9),4,AND(K198&gt;=10,K198&lt;=12),5)</f>
        <v>2</v>
      </c>
      <c r="O198" s="17" cm="1">
        <f t="array" ref="O198">_xlfn.IFS(AND(L198&gt;=4.1,L198&lt;=41.49),1,AND(L198&gt;=41.5,L198&lt;=78.86),2,AND(L198&gt;=78.87,L198&lt;=116.23),3,AND(L198&gt;=116.24,L198&lt;=153.6),4,AND(L198&gt;=153.61,L198&lt;=190.97),5)</f>
        <v>1</v>
      </c>
      <c r="P198" s="17">
        <f t="shared" si="3"/>
        <v>8</v>
      </c>
      <c r="Q198" s="17" t="str" cm="1">
        <f t="array" ref="Q198">_xlfn.IFS(P198&gt;=14,"Best Customers",AND(P198&gt;=10,P198&lt;14),"Loyal Customers",AND(P198&gt;=7,P198&lt;10),"Potential Customers",AND(P198&gt;=4,P198&lt;7),"Need Attention",P198&lt;4,"At Risk")</f>
        <v>Potential Customers</v>
      </c>
    </row>
    <row r="199" spans="1:17" x14ac:dyDescent="0.35">
      <c r="A199" t="s">
        <v>347</v>
      </c>
      <c r="B199" t="s">
        <v>12</v>
      </c>
      <c r="C199" s="1">
        <v>45647.343007002317</v>
      </c>
      <c r="D199" t="s">
        <v>7</v>
      </c>
      <c r="E199">
        <v>47.53</v>
      </c>
      <c r="I199" s="17" t="s">
        <v>918</v>
      </c>
      <c r="J199" s="18">
        <v>192.65699074073927</v>
      </c>
      <c r="K199" s="17">
        <v>1</v>
      </c>
      <c r="L199" s="17">
        <v>5.19</v>
      </c>
      <c r="M199" s="17" cm="1">
        <f t="array" ref="M199">_xlfn.IFS(AND(J199&gt;=65,J199&lt;=141),5,AND(J199&gt;141,J199&lt;=213),4,AND(J199&gt;213,J199&lt;=285),3,AND(J199&gt;285,J199&lt;=357),2,AND(J199&gt;357,J199&lt;=430),1)</f>
        <v>4</v>
      </c>
      <c r="N199" s="17" cm="1">
        <f t="array" ref="N199">_xlfn.IFS(AND(K199&gt;=1,K199&lt;=2),1,AND(K199&gt;=3,K199&lt;=4),2,AND(K199&gt;=5,K199&lt;=6),3,AND(K199&gt;=6,K199&lt;=9),4,AND(K199&gt;=10,K199&lt;=12),5)</f>
        <v>1</v>
      </c>
      <c r="O199" s="17" cm="1">
        <f t="array" ref="O199">_xlfn.IFS(AND(L199&gt;=4.1,L199&lt;=41.49),1,AND(L199&gt;=41.5,L199&lt;=78.86),2,AND(L199&gt;=78.87,L199&lt;=116.23),3,AND(L199&gt;=116.24,L199&lt;=153.6),4,AND(L199&gt;=153.61,L199&lt;=190.97),5)</f>
        <v>1</v>
      </c>
      <c r="P199" s="17">
        <f t="shared" si="3"/>
        <v>6</v>
      </c>
      <c r="Q199" s="17" t="str" cm="1">
        <f t="array" ref="Q199">_xlfn.IFS(P199&gt;=14,"Best Customers",AND(P199&gt;=10,P199&lt;14),"Loyal Customers",AND(P199&gt;=7,P199&lt;10),"Potential Customers",AND(P199&gt;=4,P199&lt;7),"Need Attention",P199&lt;4,"At Risk")</f>
        <v>Need Attention</v>
      </c>
    </row>
    <row r="200" spans="1:17" x14ac:dyDescent="0.35">
      <c r="A200" t="s">
        <v>348</v>
      </c>
      <c r="B200" t="s">
        <v>349</v>
      </c>
      <c r="C200" s="1">
        <v>45863.343007002317</v>
      </c>
      <c r="D200" t="s">
        <v>16</v>
      </c>
      <c r="E200">
        <v>11.09</v>
      </c>
      <c r="I200" s="17" t="s">
        <v>793</v>
      </c>
      <c r="J200" s="18">
        <v>252.65699074073927</v>
      </c>
      <c r="K200" s="17">
        <v>3</v>
      </c>
      <c r="L200" s="17">
        <v>63.080000000000005</v>
      </c>
      <c r="M200" s="17" cm="1">
        <f t="array" ref="M200">_xlfn.IFS(AND(J200&gt;=65,J200&lt;=141),5,AND(J200&gt;141,J200&lt;=213),4,AND(J200&gt;213,J200&lt;=285),3,AND(J200&gt;285,J200&lt;=357),2,AND(J200&gt;357,J200&lt;=430),1)</f>
        <v>3</v>
      </c>
      <c r="N200" s="17" cm="1">
        <f t="array" ref="N200">_xlfn.IFS(AND(K200&gt;=1,K200&lt;=2),1,AND(K200&gt;=3,K200&lt;=4),2,AND(K200&gt;=5,K200&lt;=6),3,AND(K200&gt;=6,K200&lt;=9),4,AND(K200&gt;=10,K200&lt;=12),5)</f>
        <v>2</v>
      </c>
      <c r="O200" s="17" cm="1">
        <f t="array" ref="O200">_xlfn.IFS(AND(L200&gt;=4.1,L200&lt;=41.49),1,AND(L200&gt;=41.5,L200&lt;=78.86),2,AND(L200&gt;=78.87,L200&lt;=116.23),3,AND(L200&gt;=116.24,L200&lt;=153.6),4,AND(L200&gt;=153.61,L200&lt;=190.97),5)</f>
        <v>2</v>
      </c>
      <c r="P200" s="17">
        <f t="shared" si="3"/>
        <v>7</v>
      </c>
      <c r="Q200" s="17" t="str" cm="1">
        <f t="array" ref="Q200">_xlfn.IFS(P200&gt;=14,"Best Customers",AND(P200&gt;=10,P200&lt;14),"Loyal Customers",AND(P200&gt;=7,P200&lt;10),"Potential Customers",AND(P200&gt;=4,P200&lt;7),"Need Attention",P200&lt;4,"At Risk")</f>
        <v>Potential Customers</v>
      </c>
    </row>
    <row r="201" spans="1:17" x14ac:dyDescent="0.35">
      <c r="A201" t="s">
        <v>350</v>
      </c>
      <c r="B201" t="s">
        <v>351</v>
      </c>
      <c r="C201" s="1">
        <v>45890.343007002317</v>
      </c>
      <c r="D201" t="s">
        <v>50</v>
      </c>
      <c r="E201">
        <v>5.96</v>
      </c>
      <c r="I201" s="17" t="s">
        <v>1012</v>
      </c>
      <c r="J201" s="18">
        <v>93.656990740739275</v>
      </c>
      <c r="K201" s="17">
        <v>2</v>
      </c>
      <c r="L201" s="17">
        <v>22.57</v>
      </c>
      <c r="M201" s="17" cm="1">
        <f t="array" ref="M201">_xlfn.IFS(AND(J201&gt;=65,J201&lt;=141),5,AND(J201&gt;141,J201&lt;=213),4,AND(J201&gt;213,J201&lt;=285),3,AND(J201&gt;285,J201&lt;=357),2,AND(J201&gt;357,J201&lt;=430),1)</f>
        <v>5</v>
      </c>
      <c r="N201" s="17" cm="1">
        <f t="array" ref="N201">_xlfn.IFS(AND(K201&gt;=1,K201&lt;=2),1,AND(K201&gt;=3,K201&lt;=4),2,AND(K201&gt;=5,K201&lt;=6),3,AND(K201&gt;=6,K201&lt;=9),4,AND(K201&gt;=10,K201&lt;=12),5)</f>
        <v>1</v>
      </c>
      <c r="O201" s="17" cm="1">
        <f t="array" ref="O201">_xlfn.IFS(AND(L201&gt;=4.1,L201&lt;=41.49),1,AND(L201&gt;=41.5,L201&lt;=78.86),2,AND(L201&gt;=78.87,L201&lt;=116.23),3,AND(L201&gt;=116.24,L201&lt;=153.6),4,AND(L201&gt;=153.61,L201&lt;=190.97),5)</f>
        <v>1</v>
      </c>
      <c r="P201" s="17">
        <f t="shared" si="3"/>
        <v>7</v>
      </c>
      <c r="Q201" s="17" t="str" cm="1">
        <f t="array" ref="Q201">_xlfn.IFS(P201&gt;=14,"Best Customers",AND(P201&gt;=10,P201&lt;14),"Loyal Customers",AND(P201&gt;=7,P201&lt;10),"Potential Customers",AND(P201&gt;=4,P201&lt;7),"Need Attention",P201&lt;4,"At Risk")</f>
        <v>Potential Customers</v>
      </c>
    </row>
    <row r="202" spans="1:17" x14ac:dyDescent="0.35">
      <c r="A202" t="s">
        <v>352</v>
      </c>
      <c r="B202" t="s">
        <v>353</v>
      </c>
      <c r="C202" s="1">
        <v>45708.343007002317</v>
      </c>
      <c r="D202" t="s">
        <v>13</v>
      </c>
      <c r="E202">
        <v>11.89</v>
      </c>
      <c r="I202" s="17" t="s">
        <v>885</v>
      </c>
      <c r="J202" s="18">
        <v>214.65699074073927</v>
      </c>
      <c r="K202" s="17">
        <v>3</v>
      </c>
      <c r="L202" s="17">
        <v>61.43</v>
      </c>
      <c r="M202" s="17" cm="1">
        <f t="array" ref="M202">_xlfn.IFS(AND(J202&gt;=65,J202&lt;=141),5,AND(J202&gt;141,J202&lt;=213),4,AND(J202&gt;213,J202&lt;=285),3,AND(J202&gt;285,J202&lt;=357),2,AND(J202&gt;357,J202&lt;=430),1)</f>
        <v>3</v>
      </c>
      <c r="N202" s="17" cm="1">
        <f t="array" ref="N202">_xlfn.IFS(AND(K202&gt;=1,K202&lt;=2),1,AND(K202&gt;=3,K202&lt;=4),2,AND(K202&gt;=5,K202&lt;=6),3,AND(K202&gt;=6,K202&lt;=9),4,AND(K202&gt;=10,K202&lt;=12),5)</f>
        <v>2</v>
      </c>
      <c r="O202" s="17" cm="1">
        <f t="array" ref="O202">_xlfn.IFS(AND(L202&gt;=4.1,L202&lt;=41.49),1,AND(L202&gt;=41.5,L202&lt;=78.86),2,AND(L202&gt;=78.87,L202&lt;=116.23),3,AND(L202&gt;=116.24,L202&lt;=153.6),4,AND(L202&gt;=153.61,L202&lt;=190.97),5)</f>
        <v>2</v>
      </c>
      <c r="P202" s="17">
        <f t="shared" si="3"/>
        <v>7</v>
      </c>
      <c r="Q202" s="17" t="str" cm="1">
        <f t="array" ref="Q202">_xlfn.IFS(P202&gt;=14,"Best Customers",AND(P202&gt;=10,P202&lt;14),"Loyal Customers",AND(P202&gt;=7,P202&lt;10),"Potential Customers",AND(P202&gt;=4,P202&lt;7),"Need Attention",P202&lt;4,"At Risk")</f>
        <v>Potential Customers</v>
      </c>
    </row>
    <row r="203" spans="1:17" x14ac:dyDescent="0.35">
      <c r="A203" t="s">
        <v>354</v>
      </c>
      <c r="B203" t="s">
        <v>355</v>
      </c>
      <c r="C203" s="1">
        <v>45696.343007002317</v>
      </c>
      <c r="D203" t="s">
        <v>16</v>
      </c>
      <c r="E203">
        <v>10.130000000000001</v>
      </c>
      <c r="I203" s="17" t="s">
        <v>434</v>
      </c>
      <c r="J203" s="18">
        <v>214.65699074073927</v>
      </c>
      <c r="K203" s="17">
        <v>3</v>
      </c>
      <c r="L203" s="17">
        <v>41</v>
      </c>
      <c r="M203" s="17" cm="1">
        <f t="array" ref="M203">_xlfn.IFS(AND(J203&gt;=65,J203&lt;=141),5,AND(J203&gt;141,J203&lt;=213),4,AND(J203&gt;213,J203&lt;=285),3,AND(J203&gt;285,J203&lt;=357),2,AND(J203&gt;357,J203&lt;=430),1)</f>
        <v>3</v>
      </c>
      <c r="N203" s="17" cm="1">
        <f t="array" ref="N203">_xlfn.IFS(AND(K203&gt;=1,K203&lt;=2),1,AND(K203&gt;=3,K203&lt;=4),2,AND(K203&gt;=5,K203&lt;=6),3,AND(K203&gt;=6,K203&lt;=9),4,AND(K203&gt;=10,K203&lt;=12),5)</f>
        <v>2</v>
      </c>
      <c r="O203" s="17" cm="1">
        <f t="array" ref="O203">_xlfn.IFS(AND(L203&gt;=4.1,L203&lt;=41.49),1,AND(L203&gt;=41.5,L203&lt;=78.86),2,AND(L203&gt;=78.87,L203&lt;=116.23),3,AND(L203&gt;=116.24,L203&lt;=153.6),4,AND(L203&gt;=153.61,L203&lt;=190.97),5)</f>
        <v>1</v>
      </c>
      <c r="P203" s="17">
        <f t="shared" si="3"/>
        <v>6</v>
      </c>
      <c r="Q203" s="17" t="str" cm="1">
        <f t="array" ref="Q203">_xlfn.IFS(P203&gt;=14,"Best Customers",AND(P203&gt;=10,P203&lt;14),"Loyal Customers",AND(P203&gt;=7,P203&lt;10),"Potential Customers",AND(P203&gt;=4,P203&lt;7),"Need Attention",P203&lt;4,"At Risk")</f>
        <v>Need Attention</v>
      </c>
    </row>
    <row r="204" spans="1:17" x14ac:dyDescent="0.35">
      <c r="A204" t="s">
        <v>356</v>
      </c>
      <c r="B204" t="s">
        <v>357</v>
      </c>
      <c r="C204" s="1">
        <v>45708.343007002317</v>
      </c>
      <c r="D204" t="s">
        <v>29</v>
      </c>
      <c r="E204">
        <v>21.68</v>
      </c>
      <c r="I204" s="17" t="s">
        <v>205</v>
      </c>
      <c r="J204" s="18">
        <v>247.65699074073927</v>
      </c>
      <c r="K204" s="17">
        <v>4</v>
      </c>
      <c r="L204" s="17">
        <v>47.959999999999994</v>
      </c>
      <c r="M204" s="17" cm="1">
        <f t="array" ref="M204">_xlfn.IFS(AND(J204&gt;=65,J204&lt;=141),5,AND(J204&gt;141,J204&lt;=213),4,AND(J204&gt;213,J204&lt;=285),3,AND(J204&gt;285,J204&lt;=357),2,AND(J204&gt;357,J204&lt;=430),1)</f>
        <v>3</v>
      </c>
      <c r="N204" s="17" cm="1">
        <f t="array" ref="N204">_xlfn.IFS(AND(K204&gt;=1,K204&lt;=2),1,AND(K204&gt;=3,K204&lt;=4),2,AND(K204&gt;=5,K204&lt;=6),3,AND(K204&gt;=6,K204&lt;=9),4,AND(K204&gt;=10,K204&lt;=12),5)</f>
        <v>2</v>
      </c>
      <c r="O204" s="17" cm="1">
        <f t="array" ref="O204">_xlfn.IFS(AND(L204&gt;=4.1,L204&lt;=41.49),1,AND(L204&gt;=41.5,L204&lt;=78.86),2,AND(L204&gt;=78.87,L204&lt;=116.23),3,AND(L204&gt;=116.24,L204&lt;=153.6),4,AND(L204&gt;=153.61,L204&lt;=190.97),5)</f>
        <v>2</v>
      </c>
      <c r="P204" s="17">
        <f t="shared" si="3"/>
        <v>7</v>
      </c>
      <c r="Q204" s="17" t="str" cm="1">
        <f t="array" ref="Q204">_xlfn.IFS(P204&gt;=14,"Best Customers",AND(P204&gt;=10,P204&lt;14),"Loyal Customers",AND(P204&gt;=7,P204&lt;10),"Potential Customers",AND(P204&gt;=4,P204&lt;7),"Need Attention",P204&lt;4,"At Risk")</f>
        <v>Potential Customers</v>
      </c>
    </row>
    <row r="205" spans="1:17" x14ac:dyDescent="0.35">
      <c r="A205" t="s">
        <v>358</v>
      </c>
      <c r="B205" t="s">
        <v>359</v>
      </c>
      <c r="C205" s="1">
        <v>45676.343007002317</v>
      </c>
      <c r="D205" t="s">
        <v>13</v>
      </c>
      <c r="E205">
        <v>10.79</v>
      </c>
      <c r="I205" s="17" t="s">
        <v>305</v>
      </c>
      <c r="J205" s="18">
        <v>86.656990740739275</v>
      </c>
      <c r="K205" s="17">
        <v>2</v>
      </c>
      <c r="L205" s="17">
        <v>21.21</v>
      </c>
      <c r="M205" s="17" cm="1">
        <f t="array" ref="M205">_xlfn.IFS(AND(J205&gt;=65,J205&lt;=141),5,AND(J205&gt;141,J205&lt;=213),4,AND(J205&gt;213,J205&lt;=285),3,AND(J205&gt;285,J205&lt;=357),2,AND(J205&gt;357,J205&lt;=430),1)</f>
        <v>5</v>
      </c>
      <c r="N205" s="17" cm="1">
        <f t="array" ref="N205">_xlfn.IFS(AND(K205&gt;=1,K205&lt;=2),1,AND(K205&gt;=3,K205&lt;=4),2,AND(K205&gt;=5,K205&lt;=6),3,AND(K205&gt;=6,K205&lt;=9),4,AND(K205&gt;=10,K205&lt;=12),5)</f>
        <v>1</v>
      </c>
      <c r="O205" s="17" cm="1">
        <f t="array" ref="O205">_xlfn.IFS(AND(L205&gt;=4.1,L205&lt;=41.49),1,AND(L205&gt;=41.5,L205&lt;=78.86),2,AND(L205&gt;=78.87,L205&lt;=116.23),3,AND(L205&gt;=116.24,L205&lt;=153.6),4,AND(L205&gt;=153.61,L205&lt;=190.97),5)</f>
        <v>1</v>
      </c>
      <c r="P205" s="17">
        <f t="shared" si="3"/>
        <v>7</v>
      </c>
      <c r="Q205" s="17" t="str" cm="1">
        <f t="array" ref="Q205">_xlfn.IFS(P205&gt;=14,"Best Customers",AND(P205&gt;=10,P205&lt;14),"Loyal Customers",AND(P205&gt;=7,P205&lt;10),"Potential Customers",AND(P205&gt;=4,P205&lt;7),"Need Attention",P205&lt;4,"At Risk")</f>
        <v>Potential Customers</v>
      </c>
    </row>
    <row r="206" spans="1:17" x14ac:dyDescent="0.35">
      <c r="A206" t="s">
        <v>360</v>
      </c>
      <c r="B206" t="s">
        <v>64</v>
      </c>
      <c r="C206" s="1">
        <v>45782.343007002317</v>
      </c>
      <c r="D206" t="s">
        <v>7</v>
      </c>
      <c r="E206">
        <v>45.42</v>
      </c>
      <c r="I206" s="17" t="s">
        <v>72</v>
      </c>
      <c r="J206" s="18">
        <v>69.656990740739275</v>
      </c>
      <c r="K206" s="17">
        <v>3</v>
      </c>
      <c r="L206" s="17">
        <v>40.739999999999995</v>
      </c>
      <c r="M206" s="17" cm="1">
        <f t="array" ref="M206">_xlfn.IFS(AND(J206&gt;=65,J206&lt;=141),5,AND(J206&gt;141,J206&lt;=213),4,AND(J206&gt;213,J206&lt;=285),3,AND(J206&gt;285,J206&lt;=357),2,AND(J206&gt;357,J206&lt;=430),1)</f>
        <v>5</v>
      </c>
      <c r="N206" s="17" cm="1">
        <f t="array" ref="N206">_xlfn.IFS(AND(K206&gt;=1,K206&lt;=2),1,AND(K206&gt;=3,K206&lt;=4),2,AND(K206&gt;=5,K206&lt;=6),3,AND(K206&gt;=6,K206&lt;=9),4,AND(K206&gt;=10,K206&lt;=12),5)</f>
        <v>2</v>
      </c>
      <c r="O206" s="17" cm="1">
        <f t="array" ref="O206">_xlfn.IFS(AND(L206&gt;=4.1,L206&lt;=41.49),1,AND(L206&gt;=41.5,L206&lt;=78.86),2,AND(L206&gt;=78.87,L206&lt;=116.23),3,AND(L206&gt;=116.24,L206&lt;=153.6),4,AND(L206&gt;=153.61,L206&lt;=190.97),5)</f>
        <v>1</v>
      </c>
      <c r="P206" s="17">
        <f t="shared" si="3"/>
        <v>8</v>
      </c>
      <c r="Q206" s="17" t="str" cm="1">
        <f t="array" ref="Q206">_xlfn.IFS(P206&gt;=14,"Best Customers",AND(P206&gt;=10,P206&lt;14),"Loyal Customers",AND(P206&gt;=7,P206&lt;10),"Potential Customers",AND(P206&gt;=4,P206&lt;7),"Need Attention",P206&lt;4,"At Risk")</f>
        <v>Potential Customers</v>
      </c>
    </row>
    <row r="207" spans="1:17" x14ac:dyDescent="0.35">
      <c r="A207" t="s">
        <v>361</v>
      </c>
      <c r="B207" t="s">
        <v>124</v>
      </c>
      <c r="C207" s="1">
        <v>45708.343007002317</v>
      </c>
      <c r="D207" t="s">
        <v>50</v>
      </c>
      <c r="E207">
        <v>4.71</v>
      </c>
      <c r="I207" s="17" t="s">
        <v>230</v>
      </c>
      <c r="J207" s="18">
        <v>205.65699074073927</v>
      </c>
      <c r="K207" s="17">
        <v>4</v>
      </c>
      <c r="L207" s="17">
        <v>29.38</v>
      </c>
      <c r="M207" s="17" cm="1">
        <f t="array" ref="M207">_xlfn.IFS(AND(J207&gt;=65,J207&lt;=141),5,AND(J207&gt;141,J207&lt;=213),4,AND(J207&gt;213,J207&lt;=285),3,AND(J207&gt;285,J207&lt;=357),2,AND(J207&gt;357,J207&lt;=430),1)</f>
        <v>4</v>
      </c>
      <c r="N207" s="17" cm="1">
        <f t="array" ref="N207">_xlfn.IFS(AND(K207&gt;=1,K207&lt;=2),1,AND(K207&gt;=3,K207&lt;=4),2,AND(K207&gt;=5,K207&lt;=6),3,AND(K207&gt;=6,K207&lt;=9),4,AND(K207&gt;=10,K207&lt;=12),5)</f>
        <v>2</v>
      </c>
      <c r="O207" s="17" cm="1">
        <f t="array" ref="O207">_xlfn.IFS(AND(L207&gt;=4.1,L207&lt;=41.49),1,AND(L207&gt;=41.5,L207&lt;=78.86),2,AND(L207&gt;=78.87,L207&lt;=116.23),3,AND(L207&gt;=116.24,L207&lt;=153.6),4,AND(L207&gt;=153.61,L207&lt;=190.97),5)</f>
        <v>1</v>
      </c>
      <c r="P207" s="17">
        <f t="shared" si="3"/>
        <v>7</v>
      </c>
      <c r="Q207" s="17" t="str" cm="1">
        <f t="array" ref="Q207">_xlfn.IFS(P207&gt;=14,"Best Customers",AND(P207&gt;=10,P207&lt;14),"Loyal Customers",AND(P207&gt;=7,P207&lt;10),"Potential Customers",AND(P207&gt;=4,P207&lt;7),"Need Attention",P207&lt;4,"At Risk")</f>
        <v>Potential Customers</v>
      </c>
    </row>
    <row r="208" spans="1:17" x14ac:dyDescent="0.35">
      <c r="A208" t="s">
        <v>362</v>
      </c>
      <c r="B208" t="s">
        <v>223</v>
      </c>
      <c r="C208" s="1">
        <v>45597.343007002317</v>
      </c>
      <c r="D208" t="s">
        <v>29</v>
      </c>
      <c r="E208">
        <v>28.27</v>
      </c>
      <c r="I208" s="17" t="s">
        <v>303</v>
      </c>
      <c r="J208" s="18">
        <v>242.65699074073927</v>
      </c>
      <c r="K208" s="17">
        <v>6</v>
      </c>
      <c r="L208" s="17">
        <v>123.08</v>
      </c>
      <c r="M208" s="17" cm="1">
        <f t="array" ref="M208">_xlfn.IFS(AND(J208&gt;=65,J208&lt;=141),5,AND(J208&gt;141,J208&lt;=213),4,AND(J208&gt;213,J208&lt;=285),3,AND(J208&gt;285,J208&lt;=357),2,AND(J208&gt;357,J208&lt;=430),1)</f>
        <v>3</v>
      </c>
      <c r="N208" s="17" cm="1">
        <f t="array" ref="N208">_xlfn.IFS(AND(K208&gt;=1,K208&lt;=2),1,AND(K208&gt;=3,K208&lt;=4),2,AND(K208&gt;=5,K208&lt;=6),3,AND(K208&gt;=6,K208&lt;=9),4,AND(K208&gt;=10,K208&lt;=12),5)</f>
        <v>3</v>
      </c>
      <c r="O208" s="17" cm="1">
        <f t="array" ref="O208">_xlfn.IFS(AND(L208&gt;=4.1,L208&lt;=41.49),1,AND(L208&gt;=41.5,L208&lt;=78.86),2,AND(L208&gt;=78.87,L208&lt;=116.23),3,AND(L208&gt;=116.24,L208&lt;=153.6),4,AND(L208&gt;=153.61,L208&lt;=190.97),5)</f>
        <v>4</v>
      </c>
      <c r="P208" s="17">
        <f t="shared" si="3"/>
        <v>10</v>
      </c>
      <c r="Q208" s="17" t="str" cm="1">
        <f t="array" ref="Q208">_xlfn.IFS(P208&gt;=14,"Best Customers",AND(P208&gt;=10,P208&lt;14),"Loyal Customers",AND(P208&gt;=7,P208&lt;10),"Potential Customers",AND(P208&gt;=4,P208&lt;7),"Need Attention",P208&lt;4,"At Risk")</f>
        <v>Loyal Customers</v>
      </c>
    </row>
    <row r="209" spans="1:17" x14ac:dyDescent="0.35">
      <c r="A209" t="s">
        <v>363</v>
      </c>
      <c r="B209" t="s">
        <v>140</v>
      </c>
      <c r="C209" s="1">
        <v>45725.343007002317</v>
      </c>
      <c r="D209" t="s">
        <v>29</v>
      </c>
      <c r="E209">
        <v>27.09</v>
      </c>
      <c r="I209" s="17" t="s">
        <v>161</v>
      </c>
      <c r="J209" s="18">
        <v>138.65699074073927</v>
      </c>
      <c r="K209" s="17">
        <v>5</v>
      </c>
      <c r="L209" s="17">
        <v>158.79999999999998</v>
      </c>
      <c r="M209" s="17" cm="1">
        <f t="array" ref="M209">_xlfn.IFS(AND(J209&gt;=65,J209&lt;=141),5,AND(J209&gt;141,J209&lt;=213),4,AND(J209&gt;213,J209&lt;=285),3,AND(J209&gt;285,J209&lt;=357),2,AND(J209&gt;357,J209&lt;=430),1)</f>
        <v>5</v>
      </c>
      <c r="N209" s="17" cm="1">
        <f t="array" ref="N209">_xlfn.IFS(AND(K209&gt;=1,K209&lt;=2),1,AND(K209&gt;=3,K209&lt;=4),2,AND(K209&gt;=5,K209&lt;=6),3,AND(K209&gt;=6,K209&lt;=9),4,AND(K209&gt;=10,K209&lt;=12),5)</f>
        <v>3</v>
      </c>
      <c r="O209" s="17" cm="1">
        <f t="array" ref="O209">_xlfn.IFS(AND(L209&gt;=4.1,L209&lt;=41.49),1,AND(L209&gt;=41.5,L209&lt;=78.86),2,AND(L209&gt;=78.87,L209&lt;=116.23),3,AND(L209&gt;=116.24,L209&lt;=153.6),4,AND(L209&gt;=153.61,L209&lt;=190.97),5)</f>
        <v>5</v>
      </c>
      <c r="P209" s="17">
        <f t="shared" si="3"/>
        <v>13</v>
      </c>
      <c r="Q209" s="17" t="str" cm="1">
        <f t="array" ref="Q209">_xlfn.IFS(P209&gt;=14,"Best Customers",AND(P209&gt;=10,P209&lt;14),"Loyal Customers",AND(P209&gt;=7,P209&lt;10),"Potential Customers",AND(P209&gt;=4,P209&lt;7),"Need Attention",P209&lt;4,"At Risk")</f>
        <v>Loyal Customers</v>
      </c>
    </row>
    <row r="210" spans="1:17" x14ac:dyDescent="0.35">
      <c r="A210" t="s">
        <v>364</v>
      </c>
      <c r="B210" t="s">
        <v>219</v>
      </c>
      <c r="C210" s="1">
        <v>45815.343007002317</v>
      </c>
      <c r="D210" t="s">
        <v>16</v>
      </c>
      <c r="E210">
        <v>8.7100000000000009</v>
      </c>
      <c r="I210" s="17" t="s">
        <v>544</v>
      </c>
      <c r="J210" s="18">
        <v>153.65699074073927</v>
      </c>
      <c r="K210" s="17">
        <v>3</v>
      </c>
      <c r="L210" s="17">
        <v>33.950000000000003</v>
      </c>
      <c r="M210" s="17" cm="1">
        <f t="array" ref="M210">_xlfn.IFS(AND(J210&gt;=65,J210&lt;=141),5,AND(J210&gt;141,J210&lt;=213),4,AND(J210&gt;213,J210&lt;=285),3,AND(J210&gt;285,J210&lt;=357),2,AND(J210&gt;357,J210&lt;=430),1)</f>
        <v>4</v>
      </c>
      <c r="N210" s="17" cm="1">
        <f t="array" ref="N210">_xlfn.IFS(AND(K210&gt;=1,K210&lt;=2),1,AND(K210&gt;=3,K210&lt;=4),2,AND(K210&gt;=5,K210&lt;=6),3,AND(K210&gt;=6,K210&lt;=9),4,AND(K210&gt;=10,K210&lt;=12),5)</f>
        <v>2</v>
      </c>
      <c r="O210" s="17" cm="1">
        <f t="array" ref="O210">_xlfn.IFS(AND(L210&gt;=4.1,L210&lt;=41.49),1,AND(L210&gt;=41.5,L210&lt;=78.86),2,AND(L210&gt;=78.87,L210&lt;=116.23),3,AND(L210&gt;=116.24,L210&lt;=153.6),4,AND(L210&gt;=153.61,L210&lt;=190.97),5)</f>
        <v>1</v>
      </c>
      <c r="P210" s="17">
        <f t="shared" si="3"/>
        <v>7</v>
      </c>
      <c r="Q210" s="17" t="str" cm="1">
        <f t="array" ref="Q210">_xlfn.IFS(P210&gt;=14,"Best Customers",AND(P210&gt;=10,P210&lt;14),"Loyal Customers",AND(P210&gt;=7,P210&lt;10),"Potential Customers",AND(P210&gt;=4,P210&lt;7),"Need Attention",P210&lt;4,"At Risk")</f>
        <v>Potential Customers</v>
      </c>
    </row>
    <row r="211" spans="1:17" x14ac:dyDescent="0.35">
      <c r="A211" t="s">
        <v>365</v>
      </c>
      <c r="B211" t="s">
        <v>334</v>
      </c>
      <c r="C211" s="1">
        <v>45649.343007002317</v>
      </c>
      <c r="D211" t="s">
        <v>29</v>
      </c>
      <c r="E211">
        <v>25.07</v>
      </c>
      <c r="I211" s="17" t="s">
        <v>200</v>
      </c>
      <c r="J211" s="18">
        <v>88.656990740739275</v>
      </c>
      <c r="K211" s="17">
        <v>3</v>
      </c>
      <c r="L211" s="17">
        <v>59.46</v>
      </c>
      <c r="M211" s="17" cm="1">
        <f t="array" ref="M211">_xlfn.IFS(AND(J211&gt;=65,J211&lt;=141),5,AND(J211&gt;141,J211&lt;=213),4,AND(J211&gt;213,J211&lt;=285),3,AND(J211&gt;285,J211&lt;=357),2,AND(J211&gt;357,J211&lt;=430),1)</f>
        <v>5</v>
      </c>
      <c r="N211" s="17" cm="1">
        <f t="array" ref="N211">_xlfn.IFS(AND(K211&gt;=1,K211&lt;=2),1,AND(K211&gt;=3,K211&lt;=4),2,AND(K211&gt;=5,K211&lt;=6),3,AND(K211&gt;=6,K211&lt;=9),4,AND(K211&gt;=10,K211&lt;=12),5)</f>
        <v>2</v>
      </c>
      <c r="O211" s="17" cm="1">
        <f t="array" ref="O211">_xlfn.IFS(AND(L211&gt;=4.1,L211&lt;=41.49),1,AND(L211&gt;=41.5,L211&lt;=78.86),2,AND(L211&gt;=78.87,L211&lt;=116.23),3,AND(L211&gt;=116.24,L211&lt;=153.6),4,AND(L211&gt;=153.61,L211&lt;=190.97),5)</f>
        <v>2</v>
      </c>
      <c r="P211" s="17">
        <f t="shared" si="3"/>
        <v>9</v>
      </c>
      <c r="Q211" s="17" t="str" cm="1">
        <f t="array" ref="Q211">_xlfn.IFS(P211&gt;=14,"Best Customers",AND(P211&gt;=10,P211&lt;14),"Loyal Customers",AND(P211&gt;=7,P211&lt;10),"Potential Customers",AND(P211&gt;=4,P211&lt;7),"Need Attention",P211&lt;4,"At Risk")</f>
        <v>Potential Customers</v>
      </c>
    </row>
    <row r="212" spans="1:17" x14ac:dyDescent="0.35">
      <c r="A212" t="s">
        <v>366</v>
      </c>
      <c r="B212" t="s">
        <v>70</v>
      </c>
      <c r="C212" s="1">
        <v>45938.343007002317</v>
      </c>
      <c r="D212" t="s">
        <v>7</v>
      </c>
      <c r="E212">
        <v>42.84</v>
      </c>
      <c r="I212" s="17" t="s">
        <v>483</v>
      </c>
      <c r="J212" s="18">
        <v>73.656990740739275</v>
      </c>
      <c r="K212" s="17">
        <v>2</v>
      </c>
      <c r="L212" s="17">
        <v>47.76</v>
      </c>
      <c r="M212" s="17" cm="1">
        <f t="array" ref="M212">_xlfn.IFS(AND(J212&gt;=65,J212&lt;=141),5,AND(J212&gt;141,J212&lt;=213),4,AND(J212&gt;213,J212&lt;=285),3,AND(J212&gt;285,J212&lt;=357),2,AND(J212&gt;357,J212&lt;=430),1)</f>
        <v>5</v>
      </c>
      <c r="N212" s="17" cm="1">
        <f t="array" ref="N212">_xlfn.IFS(AND(K212&gt;=1,K212&lt;=2),1,AND(K212&gt;=3,K212&lt;=4),2,AND(K212&gt;=5,K212&lt;=6),3,AND(K212&gt;=6,K212&lt;=9),4,AND(K212&gt;=10,K212&lt;=12),5)</f>
        <v>1</v>
      </c>
      <c r="O212" s="17" cm="1">
        <f t="array" ref="O212">_xlfn.IFS(AND(L212&gt;=4.1,L212&lt;=41.49),1,AND(L212&gt;=41.5,L212&lt;=78.86),2,AND(L212&gt;=78.87,L212&lt;=116.23),3,AND(L212&gt;=116.24,L212&lt;=153.6),4,AND(L212&gt;=153.61,L212&lt;=190.97),5)</f>
        <v>2</v>
      </c>
      <c r="P212" s="17">
        <f t="shared" si="3"/>
        <v>8</v>
      </c>
      <c r="Q212" s="17" t="str" cm="1">
        <f t="array" ref="Q212">_xlfn.IFS(P212&gt;=14,"Best Customers",AND(P212&gt;=10,P212&lt;14),"Loyal Customers",AND(P212&gt;=7,P212&lt;10),"Potential Customers",AND(P212&gt;=4,P212&lt;7),"Need Attention",P212&lt;4,"At Risk")</f>
        <v>Potential Customers</v>
      </c>
    </row>
    <row r="213" spans="1:17" x14ac:dyDescent="0.35">
      <c r="A213" t="s">
        <v>367</v>
      </c>
      <c r="B213" t="s">
        <v>368</v>
      </c>
      <c r="C213" s="1">
        <v>45819.343007002317</v>
      </c>
      <c r="D213" t="s">
        <v>7</v>
      </c>
      <c r="E213">
        <v>35.76</v>
      </c>
      <c r="I213" s="17" t="s">
        <v>1019</v>
      </c>
      <c r="J213" s="18">
        <v>151.65699074073927</v>
      </c>
      <c r="K213" s="17">
        <v>3</v>
      </c>
      <c r="L213" s="17">
        <v>73.260000000000005</v>
      </c>
      <c r="M213" s="17" cm="1">
        <f t="array" ref="M213">_xlfn.IFS(AND(J213&gt;=65,J213&lt;=141),5,AND(J213&gt;141,J213&lt;=213),4,AND(J213&gt;213,J213&lt;=285),3,AND(J213&gt;285,J213&lt;=357),2,AND(J213&gt;357,J213&lt;=430),1)</f>
        <v>4</v>
      </c>
      <c r="N213" s="17" cm="1">
        <f t="array" ref="N213">_xlfn.IFS(AND(K213&gt;=1,K213&lt;=2),1,AND(K213&gt;=3,K213&lt;=4),2,AND(K213&gt;=5,K213&lt;=6),3,AND(K213&gt;=6,K213&lt;=9),4,AND(K213&gt;=10,K213&lt;=12),5)</f>
        <v>2</v>
      </c>
      <c r="O213" s="17" cm="1">
        <f t="array" ref="O213">_xlfn.IFS(AND(L213&gt;=4.1,L213&lt;=41.49),1,AND(L213&gt;=41.5,L213&lt;=78.86),2,AND(L213&gt;=78.87,L213&lt;=116.23),3,AND(L213&gt;=116.24,L213&lt;=153.6),4,AND(L213&gt;=153.61,L213&lt;=190.97),5)</f>
        <v>2</v>
      </c>
      <c r="P213" s="17">
        <f t="shared" si="3"/>
        <v>8</v>
      </c>
      <c r="Q213" s="17" t="str" cm="1">
        <f t="array" ref="Q213">_xlfn.IFS(P213&gt;=14,"Best Customers",AND(P213&gt;=10,P213&lt;14),"Loyal Customers",AND(P213&gt;=7,P213&lt;10),"Potential Customers",AND(P213&gt;=4,P213&lt;7),"Need Attention",P213&lt;4,"At Risk")</f>
        <v>Potential Customers</v>
      </c>
    </row>
    <row r="214" spans="1:17" x14ac:dyDescent="0.35">
      <c r="A214" t="s">
        <v>369</v>
      </c>
      <c r="B214" t="s">
        <v>370</v>
      </c>
      <c r="C214" s="1">
        <v>45820.343007002317</v>
      </c>
      <c r="D214" t="s">
        <v>10</v>
      </c>
      <c r="E214">
        <v>16.98</v>
      </c>
      <c r="I214" s="17" t="s">
        <v>995</v>
      </c>
      <c r="J214" s="18">
        <v>406.65699074073927</v>
      </c>
      <c r="K214" s="17">
        <v>2</v>
      </c>
      <c r="L214" s="17">
        <v>30.95</v>
      </c>
      <c r="M214" s="17" cm="1">
        <f t="array" ref="M214">_xlfn.IFS(AND(J214&gt;=65,J214&lt;=141),5,AND(J214&gt;141,J214&lt;=213),4,AND(J214&gt;213,J214&lt;=285),3,AND(J214&gt;285,J214&lt;=357),2,AND(J214&gt;357,J214&lt;=430),1)</f>
        <v>1</v>
      </c>
      <c r="N214" s="17" cm="1">
        <f t="array" ref="N214">_xlfn.IFS(AND(K214&gt;=1,K214&lt;=2),1,AND(K214&gt;=3,K214&lt;=4),2,AND(K214&gt;=5,K214&lt;=6),3,AND(K214&gt;=6,K214&lt;=9),4,AND(K214&gt;=10,K214&lt;=12),5)</f>
        <v>1</v>
      </c>
      <c r="O214" s="17" cm="1">
        <f t="array" ref="O214">_xlfn.IFS(AND(L214&gt;=4.1,L214&lt;=41.49),1,AND(L214&gt;=41.5,L214&lt;=78.86),2,AND(L214&gt;=78.87,L214&lt;=116.23),3,AND(L214&gt;=116.24,L214&lt;=153.6),4,AND(L214&gt;=153.61,L214&lt;=190.97),5)</f>
        <v>1</v>
      </c>
      <c r="P214" s="17">
        <f t="shared" si="3"/>
        <v>3</v>
      </c>
      <c r="Q214" s="17" t="str" cm="1">
        <f t="array" ref="Q214">_xlfn.IFS(P214&gt;=14,"Best Customers",AND(P214&gt;=10,P214&lt;14),"Loyal Customers",AND(P214&gt;=7,P214&lt;10),"Potential Customers",AND(P214&gt;=4,P214&lt;7),"Need Attention",P214&lt;4,"At Risk")</f>
        <v>At Risk</v>
      </c>
    </row>
    <row r="215" spans="1:17" x14ac:dyDescent="0.35">
      <c r="A215" t="s">
        <v>371</v>
      </c>
      <c r="B215" t="s">
        <v>78</v>
      </c>
      <c r="C215" s="1">
        <v>45721.343007002317</v>
      </c>
      <c r="D215" t="s">
        <v>7</v>
      </c>
      <c r="E215">
        <v>40.72</v>
      </c>
      <c r="I215" s="17" t="s">
        <v>329</v>
      </c>
      <c r="J215" s="18">
        <v>70.656990740739275</v>
      </c>
      <c r="K215" s="17">
        <v>4</v>
      </c>
      <c r="L215" s="17">
        <v>30.69</v>
      </c>
      <c r="M215" s="17" cm="1">
        <f t="array" ref="M215">_xlfn.IFS(AND(J215&gt;=65,J215&lt;=141),5,AND(J215&gt;141,J215&lt;=213),4,AND(J215&gt;213,J215&lt;=285),3,AND(J215&gt;285,J215&lt;=357),2,AND(J215&gt;357,J215&lt;=430),1)</f>
        <v>5</v>
      </c>
      <c r="N215" s="17" cm="1">
        <f t="array" ref="N215">_xlfn.IFS(AND(K215&gt;=1,K215&lt;=2),1,AND(K215&gt;=3,K215&lt;=4),2,AND(K215&gt;=5,K215&lt;=6),3,AND(K215&gt;=6,K215&lt;=9),4,AND(K215&gt;=10,K215&lt;=12),5)</f>
        <v>2</v>
      </c>
      <c r="O215" s="17" cm="1">
        <f t="array" ref="O215">_xlfn.IFS(AND(L215&gt;=4.1,L215&lt;=41.49),1,AND(L215&gt;=41.5,L215&lt;=78.86),2,AND(L215&gt;=78.87,L215&lt;=116.23),3,AND(L215&gt;=116.24,L215&lt;=153.6),4,AND(L215&gt;=153.61,L215&lt;=190.97),5)</f>
        <v>1</v>
      </c>
      <c r="P215" s="17">
        <f t="shared" si="3"/>
        <v>8</v>
      </c>
      <c r="Q215" s="17" t="str" cm="1">
        <f t="array" ref="Q215">_xlfn.IFS(P215&gt;=14,"Best Customers",AND(P215&gt;=10,P215&lt;14),"Loyal Customers",AND(P215&gt;=7,P215&lt;10),"Potential Customers",AND(P215&gt;=4,P215&lt;7),"Need Attention",P215&lt;4,"At Risk")</f>
        <v>Potential Customers</v>
      </c>
    </row>
    <row r="216" spans="1:17" x14ac:dyDescent="0.35">
      <c r="A216" t="s">
        <v>372</v>
      </c>
      <c r="B216" t="s">
        <v>98</v>
      </c>
      <c r="C216" s="1">
        <v>45725.343007002317</v>
      </c>
      <c r="D216" t="s">
        <v>13</v>
      </c>
      <c r="E216">
        <v>10.39</v>
      </c>
      <c r="I216" s="17" t="s">
        <v>378</v>
      </c>
      <c r="J216" s="18">
        <v>121.65699074073927</v>
      </c>
      <c r="K216" s="17">
        <v>5</v>
      </c>
      <c r="L216" s="17">
        <v>61.239999999999995</v>
      </c>
      <c r="M216" s="17" cm="1">
        <f t="array" ref="M216">_xlfn.IFS(AND(J216&gt;=65,J216&lt;=141),5,AND(J216&gt;141,J216&lt;=213),4,AND(J216&gt;213,J216&lt;=285),3,AND(J216&gt;285,J216&lt;=357),2,AND(J216&gt;357,J216&lt;=430),1)</f>
        <v>5</v>
      </c>
      <c r="N216" s="17" cm="1">
        <f t="array" ref="N216">_xlfn.IFS(AND(K216&gt;=1,K216&lt;=2),1,AND(K216&gt;=3,K216&lt;=4),2,AND(K216&gt;=5,K216&lt;=6),3,AND(K216&gt;=6,K216&lt;=9),4,AND(K216&gt;=10,K216&lt;=12),5)</f>
        <v>3</v>
      </c>
      <c r="O216" s="17" cm="1">
        <f t="array" ref="O216">_xlfn.IFS(AND(L216&gt;=4.1,L216&lt;=41.49),1,AND(L216&gt;=41.5,L216&lt;=78.86),2,AND(L216&gt;=78.87,L216&lt;=116.23),3,AND(L216&gt;=116.24,L216&lt;=153.6),4,AND(L216&gt;=153.61,L216&lt;=190.97),5)</f>
        <v>2</v>
      </c>
      <c r="P216" s="17">
        <f t="shared" si="3"/>
        <v>10</v>
      </c>
      <c r="Q216" s="17" t="str" cm="1">
        <f t="array" ref="Q216">_xlfn.IFS(P216&gt;=14,"Best Customers",AND(P216&gt;=10,P216&lt;14),"Loyal Customers",AND(P216&gt;=7,P216&lt;10),"Potential Customers",AND(P216&gt;=4,P216&lt;7),"Need Attention",P216&lt;4,"At Risk")</f>
        <v>Loyal Customers</v>
      </c>
    </row>
    <row r="217" spans="1:17" x14ac:dyDescent="0.35">
      <c r="A217" t="s">
        <v>373</v>
      </c>
      <c r="B217" t="s">
        <v>374</v>
      </c>
      <c r="C217" s="1">
        <v>45648.343007002317</v>
      </c>
      <c r="D217" t="s">
        <v>29</v>
      </c>
      <c r="E217">
        <v>25.83</v>
      </c>
      <c r="I217" s="17" t="s">
        <v>300</v>
      </c>
      <c r="J217" s="18">
        <v>74.656990740739275</v>
      </c>
      <c r="K217" s="17">
        <v>6</v>
      </c>
      <c r="L217" s="17">
        <v>116.16</v>
      </c>
      <c r="M217" s="17" cm="1">
        <f t="array" ref="M217">_xlfn.IFS(AND(J217&gt;=65,J217&lt;=141),5,AND(J217&gt;141,J217&lt;=213),4,AND(J217&gt;213,J217&lt;=285),3,AND(J217&gt;285,J217&lt;=357),2,AND(J217&gt;357,J217&lt;=430),1)</f>
        <v>5</v>
      </c>
      <c r="N217" s="17" cm="1">
        <f t="array" ref="N217">_xlfn.IFS(AND(K217&gt;=1,K217&lt;=2),1,AND(K217&gt;=3,K217&lt;=4),2,AND(K217&gt;=5,K217&lt;=6),3,AND(K217&gt;=6,K217&lt;=9),4,AND(K217&gt;=10,K217&lt;=12),5)</f>
        <v>3</v>
      </c>
      <c r="O217" s="17" cm="1">
        <f t="array" ref="O217">_xlfn.IFS(AND(L217&gt;=4.1,L217&lt;=41.49),1,AND(L217&gt;=41.5,L217&lt;=78.86),2,AND(L217&gt;=78.87,L217&lt;=116.23),3,AND(L217&gt;=116.24,L217&lt;=153.6),4,AND(L217&gt;=153.61,L217&lt;=190.97),5)</f>
        <v>3</v>
      </c>
      <c r="P217" s="17">
        <f t="shared" si="3"/>
        <v>11</v>
      </c>
      <c r="Q217" s="17" t="str" cm="1">
        <f t="array" ref="Q217">_xlfn.IFS(P217&gt;=14,"Best Customers",AND(P217&gt;=10,P217&lt;14),"Loyal Customers",AND(P217&gt;=7,P217&lt;10),"Potential Customers",AND(P217&gt;=4,P217&lt;7),"Need Attention",P217&lt;4,"At Risk")</f>
        <v>Loyal Customers</v>
      </c>
    </row>
    <row r="218" spans="1:17" x14ac:dyDescent="0.35">
      <c r="A218" t="s">
        <v>375</v>
      </c>
      <c r="B218" t="s">
        <v>74</v>
      </c>
      <c r="C218" s="1">
        <v>45767.343007002317</v>
      </c>
      <c r="D218" t="s">
        <v>7</v>
      </c>
      <c r="E218">
        <v>48</v>
      </c>
      <c r="I218" s="17" t="s">
        <v>114</v>
      </c>
      <c r="J218" s="18">
        <v>169.65699074073927</v>
      </c>
      <c r="K218" s="17">
        <v>3</v>
      </c>
      <c r="L218" s="17">
        <v>24.72</v>
      </c>
      <c r="M218" s="17" cm="1">
        <f t="array" ref="M218">_xlfn.IFS(AND(J218&gt;=65,J218&lt;=141),5,AND(J218&gt;141,J218&lt;=213),4,AND(J218&gt;213,J218&lt;=285),3,AND(J218&gt;285,J218&lt;=357),2,AND(J218&gt;357,J218&lt;=430),1)</f>
        <v>4</v>
      </c>
      <c r="N218" s="17" cm="1">
        <f t="array" ref="N218">_xlfn.IFS(AND(K218&gt;=1,K218&lt;=2),1,AND(K218&gt;=3,K218&lt;=4),2,AND(K218&gt;=5,K218&lt;=6),3,AND(K218&gt;=6,K218&lt;=9),4,AND(K218&gt;=10,K218&lt;=12),5)</f>
        <v>2</v>
      </c>
      <c r="O218" s="17" cm="1">
        <f t="array" ref="O218">_xlfn.IFS(AND(L218&gt;=4.1,L218&lt;=41.49),1,AND(L218&gt;=41.5,L218&lt;=78.86),2,AND(L218&gt;=78.87,L218&lt;=116.23),3,AND(L218&gt;=116.24,L218&lt;=153.6),4,AND(L218&gt;=153.61,L218&lt;=190.97),5)</f>
        <v>1</v>
      </c>
      <c r="P218" s="17">
        <f t="shared" si="3"/>
        <v>7</v>
      </c>
      <c r="Q218" s="17" t="str" cm="1">
        <f t="array" ref="Q218">_xlfn.IFS(P218&gt;=14,"Best Customers",AND(P218&gt;=10,P218&lt;14),"Loyal Customers",AND(P218&gt;=7,P218&lt;10),"Potential Customers",AND(P218&gt;=4,P218&lt;7),"Need Attention",P218&lt;4,"At Risk")</f>
        <v>Potential Customers</v>
      </c>
    </row>
    <row r="219" spans="1:17" x14ac:dyDescent="0.35">
      <c r="A219" t="s">
        <v>376</v>
      </c>
      <c r="B219" t="s">
        <v>238</v>
      </c>
      <c r="C219" s="1">
        <v>45813.343007002317</v>
      </c>
      <c r="D219" t="s">
        <v>16</v>
      </c>
      <c r="E219">
        <v>8.6</v>
      </c>
      <c r="I219" s="17" t="s">
        <v>418</v>
      </c>
      <c r="J219" s="18">
        <v>88.656990740739275</v>
      </c>
      <c r="K219" s="17">
        <v>7</v>
      </c>
      <c r="L219" s="17">
        <v>108.13000000000001</v>
      </c>
      <c r="M219" s="17" cm="1">
        <f t="array" ref="M219">_xlfn.IFS(AND(J219&gt;=65,J219&lt;=141),5,AND(J219&gt;141,J219&lt;=213),4,AND(J219&gt;213,J219&lt;=285),3,AND(J219&gt;285,J219&lt;=357),2,AND(J219&gt;357,J219&lt;=430),1)</f>
        <v>5</v>
      </c>
      <c r="N219" s="17" cm="1">
        <f t="array" ref="N219">_xlfn.IFS(AND(K219&gt;=1,K219&lt;=2),1,AND(K219&gt;=3,K219&lt;=4),2,AND(K219&gt;=5,K219&lt;=6),3,AND(K219&gt;=6,K219&lt;=9),4,AND(K219&gt;=10,K219&lt;=12),5)</f>
        <v>4</v>
      </c>
      <c r="O219" s="17" cm="1">
        <f t="array" ref="O219">_xlfn.IFS(AND(L219&gt;=4.1,L219&lt;=41.49),1,AND(L219&gt;=41.5,L219&lt;=78.86),2,AND(L219&gt;=78.87,L219&lt;=116.23),3,AND(L219&gt;=116.24,L219&lt;=153.6),4,AND(L219&gt;=153.61,L219&lt;=190.97),5)</f>
        <v>3</v>
      </c>
      <c r="P219" s="17">
        <f t="shared" si="3"/>
        <v>12</v>
      </c>
      <c r="Q219" s="17" t="str" cm="1">
        <f t="array" ref="Q219">_xlfn.IFS(P219&gt;=14,"Best Customers",AND(P219&gt;=10,P219&lt;14),"Loyal Customers",AND(P219&gt;=7,P219&lt;10),"Potential Customers",AND(P219&gt;=4,P219&lt;7),"Need Attention",P219&lt;4,"At Risk")</f>
        <v>Loyal Customers</v>
      </c>
    </row>
    <row r="220" spans="1:17" x14ac:dyDescent="0.35">
      <c r="A220" t="s">
        <v>377</v>
      </c>
      <c r="B220" t="s">
        <v>378</v>
      </c>
      <c r="C220" s="1">
        <v>45755.343007002317</v>
      </c>
      <c r="D220" t="s">
        <v>10</v>
      </c>
      <c r="E220">
        <v>16.899999999999999</v>
      </c>
      <c r="I220" s="17" t="s">
        <v>519</v>
      </c>
      <c r="J220" s="18">
        <v>130.65699074073927</v>
      </c>
      <c r="K220" s="17">
        <v>6</v>
      </c>
      <c r="L220" s="17">
        <v>126.89</v>
      </c>
      <c r="M220" s="17" cm="1">
        <f t="array" ref="M220">_xlfn.IFS(AND(J220&gt;=65,J220&lt;=141),5,AND(J220&gt;141,J220&lt;=213),4,AND(J220&gt;213,J220&lt;=285),3,AND(J220&gt;285,J220&lt;=357),2,AND(J220&gt;357,J220&lt;=430),1)</f>
        <v>5</v>
      </c>
      <c r="N220" s="17" cm="1">
        <f t="array" ref="N220">_xlfn.IFS(AND(K220&gt;=1,K220&lt;=2),1,AND(K220&gt;=3,K220&lt;=4),2,AND(K220&gt;=5,K220&lt;=6),3,AND(K220&gt;=6,K220&lt;=9),4,AND(K220&gt;=10,K220&lt;=12),5)</f>
        <v>3</v>
      </c>
      <c r="O220" s="17" cm="1">
        <f t="array" ref="O220">_xlfn.IFS(AND(L220&gt;=4.1,L220&lt;=41.49),1,AND(L220&gt;=41.5,L220&lt;=78.86),2,AND(L220&gt;=78.87,L220&lt;=116.23),3,AND(L220&gt;=116.24,L220&lt;=153.6),4,AND(L220&gt;=153.61,L220&lt;=190.97),5)</f>
        <v>4</v>
      </c>
      <c r="P220" s="17">
        <f t="shared" si="3"/>
        <v>12</v>
      </c>
      <c r="Q220" s="17" t="str" cm="1">
        <f t="array" ref="Q220">_xlfn.IFS(P220&gt;=14,"Best Customers",AND(P220&gt;=10,P220&lt;14),"Loyal Customers",AND(P220&gt;=7,P220&lt;10),"Potential Customers",AND(P220&gt;=4,P220&lt;7),"Need Attention",P220&lt;4,"At Risk")</f>
        <v>Loyal Customers</v>
      </c>
    </row>
    <row r="221" spans="1:17" x14ac:dyDescent="0.35">
      <c r="A221" t="s">
        <v>379</v>
      </c>
      <c r="B221" t="s">
        <v>380</v>
      </c>
      <c r="C221" s="1">
        <v>45793.343007002317</v>
      </c>
      <c r="D221" t="s">
        <v>29</v>
      </c>
      <c r="E221">
        <v>22.07</v>
      </c>
      <c r="I221" s="17" t="s">
        <v>159</v>
      </c>
      <c r="J221" s="18">
        <v>134.65699074073927</v>
      </c>
      <c r="K221" s="17">
        <v>4</v>
      </c>
      <c r="L221" s="17">
        <v>37.58</v>
      </c>
      <c r="M221" s="17" cm="1">
        <f t="array" ref="M221">_xlfn.IFS(AND(J221&gt;=65,J221&lt;=141),5,AND(J221&gt;141,J221&lt;=213),4,AND(J221&gt;213,J221&lt;=285),3,AND(J221&gt;285,J221&lt;=357),2,AND(J221&gt;357,J221&lt;=430),1)</f>
        <v>5</v>
      </c>
      <c r="N221" s="17" cm="1">
        <f t="array" ref="N221">_xlfn.IFS(AND(K221&gt;=1,K221&lt;=2),1,AND(K221&gt;=3,K221&lt;=4),2,AND(K221&gt;=5,K221&lt;=6),3,AND(K221&gt;=6,K221&lt;=9),4,AND(K221&gt;=10,K221&lt;=12),5)</f>
        <v>2</v>
      </c>
      <c r="O221" s="17" cm="1">
        <f t="array" ref="O221">_xlfn.IFS(AND(L221&gt;=4.1,L221&lt;=41.49),1,AND(L221&gt;=41.5,L221&lt;=78.86),2,AND(L221&gt;=78.87,L221&lt;=116.23),3,AND(L221&gt;=116.24,L221&lt;=153.6),4,AND(L221&gt;=153.61,L221&lt;=190.97),5)</f>
        <v>1</v>
      </c>
      <c r="P221" s="17">
        <f t="shared" si="3"/>
        <v>8</v>
      </c>
      <c r="Q221" s="17" t="str" cm="1">
        <f t="array" ref="Q221">_xlfn.IFS(P221&gt;=14,"Best Customers",AND(P221&gt;=10,P221&lt;14),"Loyal Customers",AND(P221&gt;=7,P221&lt;10),"Potential Customers",AND(P221&gt;=4,P221&lt;7),"Need Attention",P221&lt;4,"At Risk")</f>
        <v>Potential Customers</v>
      </c>
    </row>
    <row r="222" spans="1:17" x14ac:dyDescent="0.35">
      <c r="A222" t="s">
        <v>381</v>
      </c>
      <c r="B222" t="s">
        <v>382</v>
      </c>
      <c r="C222" s="1">
        <v>45842.343007002317</v>
      </c>
      <c r="D222" t="s">
        <v>10</v>
      </c>
      <c r="E222">
        <v>16.690000000000001</v>
      </c>
      <c r="I222" s="17" t="s">
        <v>64</v>
      </c>
      <c r="J222" s="18">
        <v>132.65699074073927</v>
      </c>
      <c r="K222" s="17">
        <v>4</v>
      </c>
      <c r="L222" s="17">
        <v>70.73</v>
      </c>
      <c r="M222" s="17" cm="1">
        <f t="array" ref="M222">_xlfn.IFS(AND(J222&gt;=65,J222&lt;=141),5,AND(J222&gt;141,J222&lt;=213),4,AND(J222&gt;213,J222&lt;=285),3,AND(J222&gt;285,J222&lt;=357),2,AND(J222&gt;357,J222&lt;=430),1)</f>
        <v>5</v>
      </c>
      <c r="N222" s="17" cm="1">
        <f t="array" ref="N222">_xlfn.IFS(AND(K222&gt;=1,K222&lt;=2),1,AND(K222&gt;=3,K222&lt;=4),2,AND(K222&gt;=5,K222&lt;=6),3,AND(K222&gt;=6,K222&lt;=9),4,AND(K222&gt;=10,K222&lt;=12),5)</f>
        <v>2</v>
      </c>
      <c r="O222" s="17" cm="1">
        <f t="array" ref="O222">_xlfn.IFS(AND(L222&gt;=4.1,L222&lt;=41.49),1,AND(L222&gt;=41.5,L222&lt;=78.86),2,AND(L222&gt;=78.87,L222&lt;=116.23),3,AND(L222&gt;=116.24,L222&lt;=153.6),4,AND(L222&gt;=153.61,L222&lt;=190.97),5)</f>
        <v>2</v>
      </c>
      <c r="P222" s="17">
        <f t="shared" si="3"/>
        <v>9</v>
      </c>
      <c r="Q222" s="17" t="str" cm="1">
        <f t="array" ref="Q222">_xlfn.IFS(P222&gt;=14,"Best Customers",AND(P222&gt;=10,P222&lt;14),"Loyal Customers",AND(P222&gt;=7,P222&lt;10),"Potential Customers",AND(P222&gt;=4,P222&lt;7),"Need Attention",P222&lt;4,"At Risk")</f>
        <v>Potential Customers</v>
      </c>
    </row>
    <row r="223" spans="1:17" x14ac:dyDescent="0.35">
      <c r="A223" t="s">
        <v>383</v>
      </c>
      <c r="B223" t="s">
        <v>9</v>
      </c>
      <c r="C223" s="1">
        <v>45919.343007002317</v>
      </c>
      <c r="D223" t="s">
        <v>29</v>
      </c>
      <c r="E223">
        <v>27.35</v>
      </c>
      <c r="I223" s="17" t="s">
        <v>136</v>
      </c>
      <c r="J223" s="18">
        <v>128.65699074073927</v>
      </c>
      <c r="K223" s="17">
        <v>3</v>
      </c>
      <c r="L223" s="17">
        <v>55.25</v>
      </c>
      <c r="M223" s="17" cm="1">
        <f t="array" ref="M223">_xlfn.IFS(AND(J223&gt;=65,J223&lt;=141),5,AND(J223&gt;141,J223&lt;=213),4,AND(J223&gt;213,J223&lt;=285),3,AND(J223&gt;285,J223&lt;=357),2,AND(J223&gt;357,J223&lt;=430),1)</f>
        <v>5</v>
      </c>
      <c r="N223" s="17" cm="1">
        <f t="array" ref="N223">_xlfn.IFS(AND(K223&gt;=1,K223&lt;=2),1,AND(K223&gt;=3,K223&lt;=4),2,AND(K223&gt;=5,K223&lt;=6),3,AND(K223&gt;=6,K223&lt;=9),4,AND(K223&gt;=10,K223&lt;=12),5)</f>
        <v>2</v>
      </c>
      <c r="O223" s="17" cm="1">
        <f t="array" ref="O223">_xlfn.IFS(AND(L223&gt;=4.1,L223&lt;=41.49),1,AND(L223&gt;=41.5,L223&lt;=78.86),2,AND(L223&gt;=78.87,L223&lt;=116.23),3,AND(L223&gt;=116.24,L223&lt;=153.6),4,AND(L223&gt;=153.61,L223&lt;=190.97),5)</f>
        <v>2</v>
      </c>
      <c r="P223" s="17">
        <f t="shared" si="3"/>
        <v>9</v>
      </c>
      <c r="Q223" s="17" t="str" cm="1">
        <f t="array" ref="Q223">_xlfn.IFS(P223&gt;=14,"Best Customers",AND(P223&gt;=10,P223&lt;14),"Loyal Customers",AND(P223&gt;=7,P223&lt;10),"Potential Customers",AND(P223&gt;=4,P223&lt;7),"Need Attention",P223&lt;4,"At Risk")</f>
        <v>Potential Customers</v>
      </c>
    </row>
    <row r="224" spans="1:17" x14ac:dyDescent="0.35">
      <c r="A224" t="s">
        <v>384</v>
      </c>
      <c r="B224" t="s">
        <v>385</v>
      </c>
      <c r="C224" s="1">
        <v>45798.343007002317</v>
      </c>
      <c r="D224" t="s">
        <v>16</v>
      </c>
      <c r="E224">
        <v>9.1999999999999993</v>
      </c>
      <c r="I224" s="17" t="s">
        <v>517</v>
      </c>
      <c r="J224" s="18">
        <v>133.65699074073927</v>
      </c>
      <c r="K224" s="17">
        <v>2</v>
      </c>
      <c r="L224" s="17">
        <v>9.9400000000000013</v>
      </c>
      <c r="M224" s="17" cm="1">
        <f t="array" ref="M224">_xlfn.IFS(AND(J224&gt;=65,J224&lt;=141),5,AND(J224&gt;141,J224&lt;=213),4,AND(J224&gt;213,J224&lt;=285),3,AND(J224&gt;285,J224&lt;=357),2,AND(J224&gt;357,J224&lt;=430),1)</f>
        <v>5</v>
      </c>
      <c r="N224" s="17" cm="1">
        <f t="array" ref="N224">_xlfn.IFS(AND(K224&gt;=1,K224&lt;=2),1,AND(K224&gt;=3,K224&lt;=4),2,AND(K224&gt;=5,K224&lt;=6),3,AND(K224&gt;=6,K224&lt;=9),4,AND(K224&gt;=10,K224&lt;=12),5)</f>
        <v>1</v>
      </c>
      <c r="O224" s="17" cm="1">
        <f t="array" ref="O224">_xlfn.IFS(AND(L224&gt;=4.1,L224&lt;=41.49),1,AND(L224&gt;=41.5,L224&lt;=78.86),2,AND(L224&gt;=78.87,L224&lt;=116.23),3,AND(L224&gt;=116.24,L224&lt;=153.6),4,AND(L224&gt;=153.61,L224&lt;=190.97),5)</f>
        <v>1</v>
      </c>
      <c r="P224" s="17">
        <f t="shared" si="3"/>
        <v>7</v>
      </c>
      <c r="Q224" s="17" t="str" cm="1">
        <f t="array" ref="Q224">_xlfn.IFS(P224&gt;=14,"Best Customers",AND(P224&gt;=10,P224&lt;14),"Loyal Customers",AND(P224&gt;=7,P224&lt;10),"Potential Customers",AND(P224&gt;=4,P224&lt;7),"Need Attention",P224&lt;4,"At Risk")</f>
        <v>Potential Customers</v>
      </c>
    </row>
    <row r="225" spans="1:17" x14ac:dyDescent="0.35">
      <c r="A225" t="s">
        <v>386</v>
      </c>
      <c r="B225" t="s">
        <v>387</v>
      </c>
      <c r="C225" s="1">
        <v>45779.343007002317</v>
      </c>
      <c r="D225" t="s">
        <v>10</v>
      </c>
      <c r="E225">
        <v>13.95</v>
      </c>
      <c r="I225" s="17" t="s">
        <v>804</v>
      </c>
      <c r="J225" s="18">
        <v>210.65699074073927</v>
      </c>
      <c r="K225" s="17">
        <v>3</v>
      </c>
      <c r="L225" s="17">
        <v>61.039999999999992</v>
      </c>
      <c r="M225" s="17" cm="1">
        <f t="array" ref="M225">_xlfn.IFS(AND(J225&gt;=65,J225&lt;=141),5,AND(J225&gt;141,J225&lt;=213),4,AND(J225&gt;213,J225&lt;=285),3,AND(J225&gt;285,J225&lt;=357),2,AND(J225&gt;357,J225&lt;=430),1)</f>
        <v>4</v>
      </c>
      <c r="N225" s="17" cm="1">
        <f t="array" ref="N225">_xlfn.IFS(AND(K225&gt;=1,K225&lt;=2),1,AND(K225&gt;=3,K225&lt;=4),2,AND(K225&gt;=5,K225&lt;=6),3,AND(K225&gt;=6,K225&lt;=9),4,AND(K225&gt;=10,K225&lt;=12),5)</f>
        <v>2</v>
      </c>
      <c r="O225" s="17" cm="1">
        <f t="array" ref="O225">_xlfn.IFS(AND(L225&gt;=4.1,L225&lt;=41.49),1,AND(L225&gt;=41.5,L225&lt;=78.86),2,AND(L225&gt;=78.87,L225&lt;=116.23),3,AND(L225&gt;=116.24,L225&lt;=153.6),4,AND(L225&gt;=153.61,L225&lt;=190.97),5)</f>
        <v>2</v>
      </c>
      <c r="P225" s="17">
        <f t="shared" si="3"/>
        <v>8</v>
      </c>
      <c r="Q225" s="17" t="str" cm="1">
        <f t="array" ref="Q225">_xlfn.IFS(P225&gt;=14,"Best Customers",AND(P225&gt;=10,P225&lt;14),"Loyal Customers",AND(P225&gt;=7,P225&lt;10),"Potential Customers",AND(P225&gt;=4,P225&lt;7),"Need Attention",P225&lt;4,"At Risk")</f>
        <v>Potential Customers</v>
      </c>
    </row>
    <row r="226" spans="1:17" x14ac:dyDescent="0.35">
      <c r="A226" t="s">
        <v>388</v>
      </c>
      <c r="B226" t="s">
        <v>389</v>
      </c>
      <c r="C226" s="1">
        <v>45718.343007002317</v>
      </c>
      <c r="D226" t="s">
        <v>50</v>
      </c>
      <c r="E226">
        <v>5.59</v>
      </c>
      <c r="I226" s="17" t="s">
        <v>405</v>
      </c>
      <c r="J226" s="18">
        <v>157.65699074073927</v>
      </c>
      <c r="K226" s="17">
        <v>2</v>
      </c>
      <c r="L226" s="17">
        <v>22.16</v>
      </c>
      <c r="M226" s="17" cm="1">
        <f t="array" ref="M226">_xlfn.IFS(AND(J226&gt;=65,J226&lt;=141),5,AND(J226&gt;141,J226&lt;=213),4,AND(J226&gt;213,J226&lt;=285),3,AND(J226&gt;285,J226&lt;=357),2,AND(J226&gt;357,J226&lt;=430),1)</f>
        <v>4</v>
      </c>
      <c r="N226" s="17" cm="1">
        <f t="array" ref="N226">_xlfn.IFS(AND(K226&gt;=1,K226&lt;=2),1,AND(K226&gt;=3,K226&lt;=4),2,AND(K226&gt;=5,K226&lt;=6),3,AND(K226&gt;=6,K226&lt;=9),4,AND(K226&gt;=10,K226&lt;=12),5)</f>
        <v>1</v>
      </c>
      <c r="O226" s="17" cm="1">
        <f t="array" ref="O226">_xlfn.IFS(AND(L226&gt;=4.1,L226&lt;=41.49),1,AND(L226&gt;=41.5,L226&lt;=78.86),2,AND(L226&gt;=78.87,L226&lt;=116.23),3,AND(L226&gt;=116.24,L226&lt;=153.6),4,AND(L226&gt;=153.61,L226&lt;=190.97),5)</f>
        <v>1</v>
      </c>
      <c r="P226" s="17">
        <f t="shared" si="3"/>
        <v>6</v>
      </c>
      <c r="Q226" s="17" t="str" cm="1">
        <f t="array" ref="Q226">_xlfn.IFS(P226&gt;=14,"Best Customers",AND(P226&gt;=10,P226&lt;14),"Loyal Customers",AND(P226&gt;=7,P226&lt;10),"Potential Customers",AND(P226&gt;=4,P226&lt;7),"Need Attention",P226&lt;4,"At Risk")</f>
        <v>Need Attention</v>
      </c>
    </row>
    <row r="227" spans="1:17" x14ac:dyDescent="0.35">
      <c r="A227" t="s">
        <v>390</v>
      </c>
      <c r="B227" t="s">
        <v>391</v>
      </c>
      <c r="C227" s="1">
        <v>45850.343007002317</v>
      </c>
      <c r="D227" t="s">
        <v>13</v>
      </c>
      <c r="E227">
        <v>11.81</v>
      </c>
      <c r="I227" s="17" t="s">
        <v>452</v>
      </c>
      <c r="J227" s="18">
        <v>97.656990740739275</v>
      </c>
      <c r="K227" s="17">
        <v>2</v>
      </c>
      <c r="L227" s="17">
        <v>54.569999999999993</v>
      </c>
      <c r="M227" s="17" cm="1">
        <f t="array" ref="M227">_xlfn.IFS(AND(J227&gt;=65,J227&lt;=141),5,AND(J227&gt;141,J227&lt;=213),4,AND(J227&gt;213,J227&lt;=285),3,AND(J227&gt;285,J227&lt;=357),2,AND(J227&gt;357,J227&lt;=430),1)</f>
        <v>5</v>
      </c>
      <c r="N227" s="17" cm="1">
        <f t="array" ref="N227">_xlfn.IFS(AND(K227&gt;=1,K227&lt;=2),1,AND(K227&gt;=3,K227&lt;=4),2,AND(K227&gt;=5,K227&lt;=6),3,AND(K227&gt;=6,K227&lt;=9),4,AND(K227&gt;=10,K227&lt;=12),5)</f>
        <v>1</v>
      </c>
      <c r="O227" s="17" cm="1">
        <f t="array" ref="O227">_xlfn.IFS(AND(L227&gt;=4.1,L227&lt;=41.49),1,AND(L227&gt;=41.5,L227&lt;=78.86),2,AND(L227&gt;=78.87,L227&lt;=116.23),3,AND(L227&gt;=116.24,L227&lt;=153.6),4,AND(L227&gt;=153.61,L227&lt;=190.97),5)</f>
        <v>2</v>
      </c>
      <c r="P227" s="17">
        <f t="shared" si="3"/>
        <v>8</v>
      </c>
      <c r="Q227" s="17" t="str" cm="1">
        <f t="array" ref="Q227">_xlfn.IFS(P227&gt;=14,"Best Customers",AND(P227&gt;=10,P227&lt;14),"Loyal Customers",AND(P227&gt;=7,P227&lt;10),"Potential Customers",AND(P227&gt;=4,P227&lt;7),"Need Attention",P227&lt;4,"At Risk")</f>
        <v>Potential Customers</v>
      </c>
    </row>
    <row r="228" spans="1:17" x14ac:dyDescent="0.35">
      <c r="A228" t="s">
        <v>392</v>
      </c>
      <c r="B228" t="s">
        <v>393</v>
      </c>
      <c r="C228" s="1">
        <v>45889.343007002317</v>
      </c>
      <c r="D228" t="s">
        <v>13</v>
      </c>
      <c r="E228">
        <v>13.11</v>
      </c>
      <c r="I228" s="17" t="s">
        <v>47</v>
      </c>
      <c r="J228" s="18">
        <v>103.65699074073927</v>
      </c>
      <c r="K228" s="17">
        <v>5</v>
      </c>
      <c r="L228" s="17">
        <v>70.13</v>
      </c>
      <c r="M228" s="17" cm="1">
        <f t="array" ref="M228">_xlfn.IFS(AND(J228&gt;=65,J228&lt;=141),5,AND(J228&gt;141,J228&lt;=213),4,AND(J228&gt;213,J228&lt;=285),3,AND(J228&gt;285,J228&lt;=357),2,AND(J228&gt;357,J228&lt;=430),1)</f>
        <v>5</v>
      </c>
      <c r="N228" s="17" cm="1">
        <f t="array" ref="N228">_xlfn.IFS(AND(K228&gt;=1,K228&lt;=2),1,AND(K228&gt;=3,K228&lt;=4),2,AND(K228&gt;=5,K228&lt;=6),3,AND(K228&gt;=6,K228&lt;=9),4,AND(K228&gt;=10,K228&lt;=12),5)</f>
        <v>3</v>
      </c>
      <c r="O228" s="17" cm="1">
        <f t="array" ref="O228">_xlfn.IFS(AND(L228&gt;=4.1,L228&lt;=41.49),1,AND(L228&gt;=41.5,L228&lt;=78.86),2,AND(L228&gt;=78.87,L228&lt;=116.23),3,AND(L228&gt;=116.24,L228&lt;=153.6),4,AND(L228&gt;=153.61,L228&lt;=190.97),5)</f>
        <v>2</v>
      </c>
      <c r="P228" s="17">
        <f t="shared" si="3"/>
        <v>10</v>
      </c>
      <c r="Q228" s="17" t="str" cm="1">
        <f t="array" ref="Q228">_xlfn.IFS(P228&gt;=14,"Best Customers",AND(P228&gt;=10,P228&lt;14),"Loyal Customers",AND(P228&gt;=7,P228&lt;10),"Potential Customers",AND(P228&gt;=4,P228&lt;7),"Need Attention",P228&lt;4,"At Risk")</f>
        <v>Loyal Customers</v>
      </c>
    </row>
    <row r="229" spans="1:17" x14ac:dyDescent="0.35">
      <c r="A229" t="s">
        <v>394</v>
      </c>
      <c r="B229" t="s">
        <v>281</v>
      </c>
      <c r="C229" s="1">
        <v>45875.343007002317</v>
      </c>
      <c r="D229" t="s">
        <v>29</v>
      </c>
      <c r="E229">
        <v>21.48</v>
      </c>
      <c r="I229" s="17" t="s">
        <v>86</v>
      </c>
      <c r="J229" s="18">
        <v>70.656990740739275</v>
      </c>
      <c r="K229" s="17">
        <v>5</v>
      </c>
      <c r="L229" s="17">
        <v>92.73</v>
      </c>
      <c r="M229" s="17" cm="1">
        <f t="array" ref="M229">_xlfn.IFS(AND(J229&gt;=65,J229&lt;=141),5,AND(J229&gt;141,J229&lt;=213),4,AND(J229&gt;213,J229&lt;=285),3,AND(J229&gt;285,J229&lt;=357),2,AND(J229&gt;357,J229&lt;=430),1)</f>
        <v>5</v>
      </c>
      <c r="N229" s="17" cm="1">
        <f t="array" ref="N229">_xlfn.IFS(AND(K229&gt;=1,K229&lt;=2),1,AND(K229&gt;=3,K229&lt;=4),2,AND(K229&gt;=5,K229&lt;=6),3,AND(K229&gt;=6,K229&lt;=9),4,AND(K229&gt;=10,K229&lt;=12),5)</f>
        <v>3</v>
      </c>
      <c r="O229" s="17" cm="1">
        <f t="array" ref="O229">_xlfn.IFS(AND(L229&gt;=4.1,L229&lt;=41.49),1,AND(L229&gt;=41.5,L229&lt;=78.86),2,AND(L229&gt;=78.87,L229&lt;=116.23),3,AND(L229&gt;=116.24,L229&lt;=153.6),4,AND(L229&gt;=153.61,L229&lt;=190.97),5)</f>
        <v>3</v>
      </c>
      <c r="P229" s="17">
        <f t="shared" si="3"/>
        <v>11</v>
      </c>
      <c r="Q229" s="17" t="str" cm="1">
        <f t="array" ref="Q229">_xlfn.IFS(P229&gt;=14,"Best Customers",AND(P229&gt;=10,P229&lt;14),"Loyal Customers",AND(P229&gt;=7,P229&lt;10),"Potential Customers",AND(P229&gt;=4,P229&lt;7),"Need Attention",P229&lt;4,"At Risk")</f>
        <v>Loyal Customers</v>
      </c>
    </row>
    <row r="230" spans="1:17" x14ac:dyDescent="0.35">
      <c r="A230" t="s">
        <v>395</v>
      </c>
      <c r="B230" t="s">
        <v>396</v>
      </c>
      <c r="C230" s="1">
        <v>45920.343007002317</v>
      </c>
      <c r="D230" t="s">
        <v>50</v>
      </c>
      <c r="E230">
        <v>5.71</v>
      </c>
      <c r="I230" s="17" t="s">
        <v>992</v>
      </c>
      <c r="J230" s="18">
        <v>237.65699074073927</v>
      </c>
      <c r="K230" s="17">
        <v>1</v>
      </c>
      <c r="L230" s="17">
        <v>34.880000000000003</v>
      </c>
      <c r="M230" s="17" cm="1">
        <f t="array" ref="M230">_xlfn.IFS(AND(J230&gt;=65,J230&lt;=141),5,AND(J230&gt;141,J230&lt;=213),4,AND(J230&gt;213,J230&lt;=285),3,AND(J230&gt;285,J230&lt;=357),2,AND(J230&gt;357,J230&lt;=430),1)</f>
        <v>3</v>
      </c>
      <c r="N230" s="17" cm="1">
        <f t="array" ref="N230">_xlfn.IFS(AND(K230&gt;=1,K230&lt;=2),1,AND(K230&gt;=3,K230&lt;=4),2,AND(K230&gt;=5,K230&lt;=6),3,AND(K230&gt;=6,K230&lt;=9),4,AND(K230&gt;=10,K230&lt;=12),5)</f>
        <v>1</v>
      </c>
      <c r="O230" s="17" cm="1">
        <f t="array" ref="O230">_xlfn.IFS(AND(L230&gt;=4.1,L230&lt;=41.49),1,AND(L230&gt;=41.5,L230&lt;=78.86),2,AND(L230&gt;=78.87,L230&lt;=116.23),3,AND(L230&gt;=116.24,L230&lt;=153.6),4,AND(L230&gt;=153.61,L230&lt;=190.97),5)</f>
        <v>1</v>
      </c>
      <c r="P230" s="17">
        <f t="shared" si="3"/>
        <v>5</v>
      </c>
      <c r="Q230" s="17" t="str" cm="1">
        <f t="array" ref="Q230">_xlfn.IFS(P230&gt;=14,"Best Customers",AND(P230&gt;=10,P230&lt;14),"Loyal Customers",AND(P230&gt;=7,P230&lt;10),"Potential Customers",AND(P230&gt;=4,P230&lt;7),"Need Attention",P230&lt;4,"At Risk")</f>
        <v>Need Attention</v>
      </c>
    </row>
    <row r="231" spans="1:17" x14ac:dyDescent="0.35">
      <c r="A231" t="s">
        <v>397</v>
      </c>
      <c r="B231" t="s">
        <v>398</v>
      </c>
      <c r="C231" s="1">
        <v>45693.343007002317</v>
      </c>
      <c r="D231" t="s">
        <v>10</v>
      </c>
      <c r="E231">
        <v>16.27</v>
      </c>
      <c r="I231" s="17" t="s">
        <v>359</v>
      </c>
      <c r="J231" s="18">
        <v>150.65699074073927</v>
      </c>
      <c r="K231" s="17">
        <v>4</v>
      </c>
      <c r="L231" s="17">
        <v>85.9</v>
      </c>
      <c r="M231" s="17" cm="1">
        <f t="array" ref="M231">_xlfn.IFS(AND(J231&gt;=65,J231&lt;=141),5,AND(J231&gt;141,J231&lt;=213),4,AND(J231&gt;213,J231&lt;=285),3,AND(J231&gt;285,J231&lt;=357),2,AND(J231&gt;357,J231&lt;=430),1)</f>
        <v>4</v>
      </c>
      <c r="N231" s="17" cm="1">
        <f t="array" ref="N231">_xlfn.IFS(AND(K231&gt;=1,K231&lt;=2),1,AND(K231&gt;=3,K231&lt;=4),2,AND(K231&gt;=5,K231&lt;=6),3,AND(K231&gt;=6,K231&lt;=9),4,AND(K231&gt;=10,K231&lt;=12),5)</f>
        <v>2</v>
      </c>
      <c r="O231" s="17" cm="1">
        <f t="array" ref="O231">_xlfn.IFS(AND(L231&gt;=4.1,L231&lt;=41.49),1,AND(L231&gt;=41.5,L231&lt;=78.86),2,AND(L231&gt;=78.87,L231&lt;=116.23),3,AND(L231&gt;=116.24,L231&lt;=153.6),4,AND(L231&gt;=153.61,L231&lt;=190.97),5)</f>
        <v>3</v>
      </c>
      <c r="P231" s="17">
        <f t="shared" si="3"/>
        <v>9</v>
      </c>
      <c r="Q231" s="17" t="str" cm="1">
        <f t="array" ref="Q231">_xlfn.IFS(P231&gt;=14,"Best Customers",AND(P231&gt;=10,P231&lt;14),"Loyal Customers",AND(P231&gt;=7,P231&lt;10),"Potential Customers",AND(P231&gt;=4,P231&lt;7),"Need Attention",P231&lt;4,"At Risk")</f>
        <v>Potential Customers</v>
      </c>
    </row>
    <row r="232" spans="1:17" x14ac:dyDescent="0.35">
      <c r="A232" t="s">
        <v>399</v>
      </c>
      <c r="B232" t="s">
        <v>400</v>
      </c>
      <c r="C232" s="1">
        <v>45793.343007002317</v>
      </c>
      <c r="D232" t="s">
        <v>50</v>
      </c>
      <c r="E232">
        <v>5.81</v>
      </c>
      <c r="I232" s="17" t="s">
        <v>1049</v>
      </c>
      <c r="J232" s="18">
        <v>86.656990740739275</v>
      </c>
      <c r="K232" s="17">
        <v>1</v>
      </c>
      <c r="L232" s="17">
        <v>12.43</v>
      </c>
      <c r="M232" s="17" cm="1">
        <f t="array" ref="M232">_xlfn.IFS(AND(J232&gt;=65,J232&lt;=141),5,AND(J232&gt;141,J232&lt;=213),4,AND(J232&gt;213,J232&lt;=285),3,AND(J232&gt;285,J232&lt;=357),2,AND(J232&gt;357,J232&lt;=430),1)</f>
        <v>5</v>
      </c>
      <c r="N232" s="17" cm="1">
        <f t="array" ref="N232">_xlfn.IFS(AND(K232&gt;=1,K232&lt;=2),1,AND(K232&gt;=3,K232&lt;=4),2,AND(K232&gt;=5,K232&lt;=6),3,AND(K232&gt;=6,K232&lt;=9),4,AND(K232&gt;=10,K232&lt;=12),5)</f>
        <v>1</v>
      </c>
      <c r="O232" s="17" cm="1">
        <f t="array" ref="O232">_xlfn.IFS(AND(L232&gt;=4.1,L232&lt;=41.49),1,AND(L232&gt;=41.5,L232&lt;=78.86),2,AND(L232&gt;=78.87,L232&lt;=116.23),3,AND(L232&gt;=116.24,L232&lt;=153.6),4,AND(L232&gt;=153.61,L232&lt;=190.97),5)</f>
        <v>1</v>
      </c>
      <c r="P232" s="17">
        <f t="shared" si="3"/>
        <v>7</v>
      </c>
      <c r="Q232" s="17" t="str" cm="1">
        <f t="array" ref="Q232">_xlfn.IFS(P232&gt;=14,"Best Customers",AND(P232&gt;=10,P232&lt;14),"Loyal Customers",AND(P232&gt;=7,P232&lt;10),"Potential Customers",AND(P232&gt;=4,P232&lt;7),"Need Attention",P232&lt;4,"At Risk")</f>
        <v>Potential Customers</v>
      </c>
    </row>
    <row r="233" spans="1:17" x14ac:dyDescent="0.35">
      <c r="A233" t="s">
        <v>401</v>
      </c>
      <c r="B233" t="s">
        <v>402</v>
      </c>
      <c r="C233" s="1">
        <v>45835.343007002317</v>
      </c>
      <c r="D233" t="s">
        <v>50</v>
      </c>
      <c r="E233">
        <v>4.26</v>
      </c>
      <c r="I233" s="17" t="s">
        <v>691</v>
      </c>
      <c r="J233" s="18">
        <v>103.65699074073927</v>
      </c>
      <c r="K233" s="17">
        <v>3</v>
      </c>
      <c r="L233" s="17">
        <v>51.7</v>
      </c>
      <c r="M233" s="17" cm="1">
        <f t="array" ref="M233">_xlfn.IFS(AND(J233&gt;=65,J233&lt;=141),5,AND(J233&gt;141,J233&lt;=213),4,AND(J233&gt;213,J233&lt;=285),3,AND(J233&gt;285,J233&lt;=357),2,AND(J233&gt;357,J233&lt;=430),1)</f>
        <v>5</v>
      </c>
      <c r="N233" s="17" cm="1">
        <f t="array" ref="N233">_xlfn.IFS(AND(K233&gt;=1,K233&lt;=2),1,AND(K233&gt;=3,K233&lt;=4),2,AND(K233&gt;=5,K233&lt;=6),3,AND(K233&gt;=6,K233&lt;=9),4,AND(K233&gt;=10,K233&lt;=12),5)</f>
        <v>2</v>
      </c>
      <c r="O233" s="17" cm="1">
        <f t="array" ref="O233">_xlfn.IFS(AND(L233&gt;=4.1,L233&lt;=41.49),1,AND(L233&gt;=41.5,L233&lt;=78.86),2,AND(L233&gt;=78.87,L233&lt;=116.23),3,AND(L233&gt;=116.24,L233&lt;=153.6),4,AND(L233&gt;=153.61,L233&lt;=190.97),5)</f>
        <v>2</v>
      </c>
      <c r="P233" s="17">
        <f t="shared" si="3"/>
        <v>9</v>
      </c>
      <c r="Q233" s="17" t="str" cm="1">
        <f t="array" ref="Q233">_xlfn.IFS(P233&gt;=14,"Best Customers",AND(P233&gt;=10,P233&lt;14),"Loyal Customers",AND(P233&gt;=7,P233&lt;10),"Potential Customers",AND(P233&gt;=4,P233&lt;7),"Need Attention",P233&lt;4,"At Risk")</f>
        <v>Potential Customers</v>
      </c>
    </row>
    <row r="234" spans="1:17" x14ac:dyDescent="0.35">
      <c r="A234" t="s">
        <v>403</v>
      </c>
      <c r="B234" t="s">
        <v>192</v>
      </c>
      <c r="C234" s="1">
        <v>45739.343007002317</v>
      </c>
      <c r="D234" t="s">
        <v>10</v>
      </c>
      <c r="E234">
        <v>15.56</v>
      </c>
      <c r="I234" s="17" t="s">
        <v>820</v>
      </c>
      <c r="J234" s="18">
        <v>79.656990740739275</v>
      </c>
      <c r="K234" s="17">
        <v>4</v>
      </c>
      <c r="L234" s="17">
        <v>97.14</v>
      </c>
      <c r="M234" s="17" cm="1">
        <f t="array" ref="M234">_xlfn.IFS(AND(J234&gt;=65,J234&lt;=141),5,AND(J234&gt;141,J234&lt;=213),4,AND(J234&gt;213,J234&lt;=285),3,AND(J234&gt;285,J234&lt;=357),2,AND(J234&gt;357,J234&lt;=430),1)</f>
        <v>5</v>
      </c>
      <c r="N234" s="17" cm="1">
        <f t="array" ref="N234">_xlfn.IFS(AND(K234&gt;=1,K234&lt;=2),1,AND(K234&gt;=3,K234&lt;=4),2,AND(K234&gt;=5,K234&lt;=6),3,AND(K234&gt;=6,K234&lt;=9),4,AND(K234&gt;=10,K234&lt;=12),5)</f>
        <v>2</v>
      </c>
      <c r="O234" s="17" cm="1">
        <f t="array" ref="O234">_xlfn.IFS(AND(L234&gt;=4.1,L234&lt;=41.49),1,AND(L234&gt;=41.5,L234&lt;=78.86),2,AND(L234&gt;=78.87,L234&lt;=116.23),3,AND(L234&gt;=116.24,L234&lt;=153.6),4,AND(L234&gt;=153.61,L234&lt;=190.97),5)</f>
        <v>3</v>
      </c>
      <c r="P234" s="17">
        <f t="shared" si="3"/>
        <v>10</v>
      </c>
      <c r="Q234" s="17" t="str" cm="1">
        <f t="array" ref="Q234">_xlfn.IFS(P234&gt;=14,"Best Customers",AND(P234&gt;=10,P234&lt;14),"Loyal Customers",AND(P234&gt;=7,P234&lt;10),"Potential Customers",AND(P234&gt;=4,P234&lt;7),"Need Attention",P234&lt;4,"At Risk")</f>
        <v>Loyal Customers</v>
      </c>
    </row>
    <row r="235" spans="1:17" x14ac:dyDescent="0.35">
      <c r="A235" t="s">
        <v>404</v>
      </c>
      <c r="B235" t="s">
        <v>405</v>
      </c>
      <c r="C235" s="1">
        <v>45692.343007002317</v>
      </c>
      <c r="D235" t="s">
        <v>16</v>
      </c>
      <c r="E235">
        <v>10.4</v>
      </c>
      <c r="I235" s="17" t="s">
        <v>179</v>
      </c>
      <c r="J235" s="18">
        <v>195.65699074073927</v>
      </c>
      <c r="K235" s="17">
        <v>5</v>
      </c>
      <c r="L235" s="17">
        <v>101.22</v>
      </c>
      <c r="M235" s="17" cm="1">
        <f t="array" ref="M235">_xlfn.IFS(AND(J235&gt;=65,J235&lt;=141),5,AND(J235&gt;141,J235&lt;=213),4,AND(J235&gt;213,J235&lt;=285),3,AND(J235&gt;285,J235&lt;=357),2,AND(J235&gt;357,J235&lt;=430),1)</f>
        <v>4</v>
      </c>
      <c r="N235" s="17" cm="1">
        <f t="array" ref="N235">_xlfn.IFS(AND(K235&gt;=1,K235&lt;=2),1,AND(K235&gt;=3,K235&lt;=4),2,AND(K235&gt;=5,K235&lt;=6),3,AND(K235&gt;=6,K235&lt;=9),4,AND(K235&gt;=10,K235&lt;=12),5)</f>
        <v>3</v>
      </c>
      <c r="O235" s="17" cm="1">
        <f t="array" ref="O235">_xlfn.IFS(AND(L235&gt;=4.1,L235&lt;=41.49),1,AND(L235&gt;=41.5,L235&lt;=78.86),2,AND(L235&gt;=78.87,L235&lt;=116.23),3,AND(L235&gt;=116.24,L235&lt;=153.6),4,AND(L235&gt;=153.61,L235&lt;=190.97),5)</f>
        <v>3</v>
      </c>
      <c r="P235" s="17">
        <f t="shared" si="3"/>
        <v>10</v>
      </c>
      <c r="Q235" s="17" t="str" cm="1">
        <f t="array" ref="Q235">_xlfn.IFS(P235&gt;=14,"Best Customers",AND(P235&gt;=10,P235&lt;14),"Loyal Customers",AND(P235&gt;=7,P235&lt;10),"Potential Customers",AND(P235&gt;=4,P235&lt;7),"Need Attention",P235&lt;4,"At Risk")</f>
        <v>Loyal Customers</v>
      </c>
    </row>
    <row r="236" spans="1:17" x14ac:dyDescent="0.35">
      <c r="A236" t="s">
        <v>406</v>
      </c>
      <c r="B236" t="s">
        <v>407</v>
      </c>
      <c r="C236" s="1">
        <v>45796.343007002317</v>
      </c>
      <c r="D236" t="s">
        <v>50</v>
      </c>
      <c r="E236">
        <v>4.71</v>
      </c>
      <c r="I236" s="17" t="s">
        <v>254</v>
      </c>
      <c r="J236" s="18">
        <v>255.65699074073927</v>
      </c>
      <c r="K236" s="17">
        <v>2</v>
      </c>
      <c r="L236" s="17">
        <v>33.430000000000007</v>
      </c>
      <c r="M236" s="17" cm="1">
        <f t="array" ref="M236">_xlfn.IFS(AND(J236&gt;=65,J236&lt;=141),5,AND(J236&gt;141,J236&lt;=213),4,AND(J236&gt;213,J236&lt;=285),3,AND(J236&gt;285,J236&lt;=357),2,AND(J236&gt;357,J236&lt;=430),1)</f>
        <v>3</v>
      </c>
      <c r="N236" s="17" cm="1">
        <f t="array" ref="N236">_xlfn.IFS(AND(K236&gt;=1,K236&lt;=2),1,AND(K236&gt;=3,K236&lt;=4),2,AND(K236&gt;=5,K236&lt;=6),3,AND(K236&gt;=6,K236&lt;=9),4,AND(K236&gt;=10,K236&lt;=12),5)</f>
        <v>1</v>
      </c>
      <c r="O236" s="17" cm="1">
        <f t="array" ref="O236">_xlfn.IFS(AND(L236&gt;=4.1,L236&lt;=41.49),1,AND(L236&gt;=41.5,L236&lt;=78.86),2,AND(L236&gt;=78.87,L236&lt;=116.23),3,AND(L236&gt;=116.24,L236&lt;=153.6),4,AND(L236&gt;=153.61,L236&lt;=190.97),5)</f>
        <v>1</v>
      </c>
      <c r="P236" s="17">
        <f t="shared" si="3"/>
        <v>5</v>
      </c>
      <c r="Q236" s="17" t="str" cm="1">
        <f t="array" ref="Q236">_xlfn.IFS(P236&gt;=14,"Best Customers",AND(P236&gt;=10,P236&lt;14),"Loyal Customers",AND(P236&gt;=7,P236&lt;10),"Potential Customers",AND(P236&gt;=4,P236&lt;7),"Need Attention",P236&lt;4,"At Risk")</f>
        <v>Need Attention</v>
      </c>
    </row>
    <row r="237" spans="1:17" x14ac:dyDescent="0.35">
      <c r="A237" t="s">
        <v>408</v>
      </c>
      <c r="B237" t="s">
        <v>409</v>
      </c>
      <c r="C237" s="1">
        <v>45719.343007002317</v>
      </c>
      <c r="D237" t="s">
        <v>50</v>
      </c>
      <c r="E237">
        <v>4.92</v>
      </c>
      <c r="I237" s="17" t="s">
        <v>642</v>
      </c>
      <c r="J237" s="18">
        <v>79.656990740739275</v>
      </c>
      <c r="K237" s="17">
        <v>3</v>
      </c>
      <c r="L237" s="17">
        <v>70.489999999999995</v>
      </c>
      <c r="M237" s="17" cm="1">
        <f t="array" ref="M237">_xlfn.IFS(AND(J237&gt;=65,J237&lt;=141),5,AND(J237&gt;141,J237&lt;=213),4,AND(J237&gt;213,J237&lt;=285),3,AND(J237&gt;285,J237&lt;=357),2,AND(J237&gt;357,J237&lt;=430),1)</f>
        <v>5</v>
      </c>
      <c r="N237" s="17" cm="1">
        <f t="array" ref="N237">_xlfn.IFS(AND(K237&gt;=1,K237&lt;=2),1,AND(K237&gt;=3,K237&lt;=4),2,AND(K237&gt;=5,K237&lt;=6),3,AND(K237&gt;=6,K237&lt;=9),4,AND(K237&gt;=10,K237&lt;=12),5)</f>
        <v>2</v>
      </c>
      <c r="O237" s="17" cm="1">
        <f t="array" ref="O237">_xlfn.IFS(AND(L237&gt;=4.1,L237&lt;=41.49),1,AND(L237&gt;=41.5,L237&lt;=78.86),2,AND(L237&gt;=78.87,L237&lt;=116.23),3,AND(L237&gt;=116.24,L237&lt;=153.6),4,AND(L237&gt;=153.61,L237&lt;=190.97),5)</f>
        <v>2</v>
      </c>
      <c r="P237" s="17">
        <f t="shared" si="3"/>
        <v>9</v>
      </c>
      <c r="Q237" s="17" t="str" cm="1">
        <f t="array" ref="Q237">_xlfn.IFS(P237&gt;=14,"Best Customers",AND(P237&gt;=10,P237&lt;14),"Loyal Customers",AND(P237&gt;=7,P237&lt;10),"Potential Customers",AND(P237&gt;=4,P237&lt;7),"Need Attention",P237&lt;4,"At Risk")</f>
        <v>Potential Customers</v>
      </c>
    </row>
    <row r="238" spans="1:17" x14ac:dyDescent="0.35">
      <c r="A238" t="s">
        <v>410</v>
      </c>
      <c r="B238" t="s">
        <v>411</v>
      </c>
      <c r="C238" s="1">
        <v>45782.343007002317</v>
      </c>
      <c r="D238" t="s">
        <v>16</v>
      </c>
      <c r="E238">
        <v>8.15</v>
      </c>
      <c r="I238" s="17" t="s">
        <v>448</v>
      </c>
      <c r="J238" s="18">
        <v>232.65699074073927</v>
      </c>
      <c r="K238" s="17">
        <v>3</v>
      </c>
      <c r="L238" s="17">
        <v>37.870000000000005</v>
      </c>
      <c r="M238" s="17" cm="1">
        <f t="array" ref="M238">_xlfn.IFS(AND(J238&gt;=65,J238&lt;=141),5,AND(J238&gt;141,J238&lt;=213),4,AND(J238&gt;213,J238&lt;=285),3,AND(J238&gt;285,J238&lt;=357),2,AND(J238&gt;357,J238&lt;=430),1)</f>
        <v>3</v>
      </c>
      <c r="N238" s="17" cm="1">
        <f t="array" ref="N238">_xlfn.IFS(AND(K238&gt;=1,K238&lt;=2),1,AND(K238&gt;=3,K238&lt;=4),2,AND(K238&gt;=5,K238&lt;=6),3,AND(K238&gt;=6,K238&lt;=9),4,AND(K238&gt;=10,K238&lt;=12),5)</f>
        <v>2</v>
      </c>
      <c r="O238" s="17" cm="1">
        <f t="array" ref="O238">_xlfn.IFS(AND(L238&gt;=4.1,L238&lt;=41.49),1,AND(L238&gt;=41.5,L238&lt;=78.86),2,AND(L238&gt;=78.87,L238&lt;=116.23),3,AND(L238&gt;=116.24,L238&lt;=153.6),4,AND(L238&gt;=153.61,L238&lt;=190.97),5)</f>
        <v>1</v>
      </c>
      <c r="P238" s="17">
        <f t="shared" si="3"/>
        <v>6</v>
      </c>
      <c r="Q238" s="17" t="str" cm="1">
        <f t="array" ref="Q238">_xlfn.IFS(P238&gt;=14,"Best Customers",AND(P238&gt;=10,P238&lt;14),"Loyal Customers",AND(P238&gt;=7,P238&lt;10),"Potential Customers",AND(P238&gt;=4,P238&lt;7),"Need Attention",P238&lt;4,"At Risk")</f>
        <v>Need Attention</v>
      </c>
    </row>
    <row r="239" spans="1:17" x14ac:dyDescent="0.35">
      <c r="A239" t="s">
        <v>412</v>
      </c>
      <c r="B239" t="s">
        <v>18</v>
      </c>
      <c r="C239" s="1">
        <v>45921.343007002317</v>
      </c>
      <c r="D239" t="s">
        <v>50</v>
      </c>
      <c r="E239">
        <v>5.49</v>
      </c>
      <c r="I239" s="17" t="s">
        <v>351</v>
      </c>
      <c r="J239" s="18">
        <v>129.65699074073927</v>
      </c>
      <c r="K239" s="17">
        <v>2</v>
      </c>
      <c r="L239" s="17">
        <v>11.96</v>
      </c>
      <c r="M239" s="17" cm="1">
        <f t="array" ref="M239">_xlfn.IFS(AND(J239&gt;=65,J239&lt;=141),5,AND(J239&gt;141,J239&lt;=213),4,AND(J239&gt;213,J239&lt;=285),3,AND(J239&gt;285,J239&lt;=357),2,AND(J239&gt;357,J239&lt;=430),1)</f>
        <v>5</v>
      </c>
      <c r="N239" s="17" cm="1">
        <f t="array" ref="N239">_xlfn.IFS(AND(K239&gt;=1,K239&lt;=2),1,AND(K239&gt;=3,K239&lt;=4),2,AND(K239&gt;=5,K239&lt;=6),3,AND(K239&gt;=6,K239&lt;=9),4,AND(K239&gt;=10,K239&lt;=12),5)</f>
        <v>1</v>
      </c>
      <c r="O239" s="17" cm="1">
        <f t="array" ref="O239">_xlfn.IFS(AND(L239&gt;=4.1,L239&lt;=41.49),1,AND(L239&gt;=41.5,L239&lt;=78.86),2,AND(L239&gt;=78.87,L239&lt;=116.23),3,AND(L239&gt;=116.24,L239&lt;=153.6),4,AND(L239&gt;=153.61,L239&lt;=190.97),5)</f>
        <v>1</v>
      </c>
      <c r="P239" s="17">
        <f t="shared" si="3"/>
        <v>7</v>
      </c>
      <c r="Q239" s="17" t="str" cm="1">
        <f t="array" ref="Q239">_xlfn.IFS(P239&gt;=14,"Best Customers",AND(P239&gt;=10,P239&lt;14),"Loyal Customers",AND(P239&gt;=7,P239&lt;10),"Potential Customers",AND(P239&gt;=4,P239&lt;7),"Need Attention",P239&lt;4,"At Risk")</f>
        <v>Potential Customers</v>
      </c>
    </row>
    <row r="240" spans="1:17" x14ac:dyDescent="0.35">
      <c r="A240" t="s">
        <v>413</v>
      </c>
      <c r="B240" t="s">
        <v>213</v>
      </c>
      <c r="C240" s="1">
        <v>45944.343007002317</v>
      </c>
      <c r="D240" t="s">
        <v>50</v>
      </c>
      <c r="E240">
        <v>5.0999999999999996</v>
      </c>
      <c r="I240" s="17" t="s">
        <v>357</v>
      </c>
      <c r="J240" s="18">
        <v>170.65699074073927</v>
      </c>
      <c r="K240" s="17">
        <v>2</v>
      </c>
      <c r="L240" s="17">
        <v>49.29</v>
      </c>
      <c r="M240" s="17" cm="1">
        <f t="array" ref="M240">_xlfn.IFS(AND(J240&gt;=65,J240&lt;=141),5,AND(J240&gt;141,J240&lt;=213),4,AND(J240&gt;213,J240&lt;=285),3,AND(J240&gt;285,J240&lt;=357),2,AND(J240&gt;357,J240&lt;=430),1)</f>
        <v>4</v>
      </c>
      <c r="N240" s="17" cm="1">
        <f t="array" ref="N240">_xlfn.IFS(AND(K240&gt;=1,K240&lt;=2),1,AND(K240&gt;=3,K240&lt;=4),2,AND(K240&gt;=5,K240&lt;=6),3,AND(K240&gt;=6,K240&lt;=9),4,AND(K240&gt;=10,K240&lt;=12),5)</f>
        <v>1</v>
      </c>
      <c r="O240" s="17" cm="1">
        <f t="array" ref="O240">_xlfn.IFS(AND(L240&gt;=4.1,L240&lt;=41.49),1,AND(L240&gt;=41.5,L240&lt;=78.86),2,AND(L240&gt;=78.87,L240&lt;=116.23),3,AND(L240&gt;=116.24,L240&lt;=153.6),4,AND(L240&gt;=153.61,L240&lt;=190.97),5)</f>
        <v>2</v>
      </c>
      <c r="P240" s="17">
        <f t="shared" si="3"/>
        <v>7</v>
      </c>
      <c r="Q240" s="17" t="str" cm="1">
        <f t="array" ref="Q240">_xlfn.IFS(P240&gt;=14,"Best Customers",AND(P240&gt;=10,P240&lt;14),"Loyal Customers",AND(P240&gt;=7,P240&lt;10),"Potential Customers",AND(P240&gt;=4,P240&lt;7),"Need Attention",P240&lt;4,"At Risk")</f>
        <v>Potential Customers</v>
      </c>
    </row>
    <row r="241" spans="1:17" x14ac:dyDescent="0.35">
      <c r="A241" t="s">
        <v>414</v>
      </c>
      <c r="B241" t="s">
        <v>415</v>
      </c>
      <c r="C241" s="1">
        <v>45854.343007002317</v>
      </c>
      <c r="D241" t="s">
        <v>50</v>
      </c>
      <c r="E241">
        <v>4.12</v>
      </c>
      <c r="I241" s="17" t="s">
        <v>528</v>
      </c>
      <c r="J241" s="18">
        <v>148.65699074073927</v>
      </c>
      <c r="K241" s="17">
        <v>3</v>
      </c>
      <c r="L241" s="17">
        <v>47.45</v>
      </c>
      <c r="M241" s="17" cm="1">
        <f t="array" ref="M241">_xlfn.IFS(AND(J241&gt;=65,J241&lt;=141),5,AND(J241&gt;141,J241&lt;=213),4,AND(J241&gt;213,J241&lt;=285),3,AND(J241&gt;285,J241&lt;=357),2,AND(J241&gt;357,J241&lt;=430),1)</f>
        <v>4</v>
      </c>
      <c r="N241" s="17" cm="1">
        <f t="array" ref="N241">_xlfn.IFS(AND(K241&gt;=1,K241&lt;=2),1,AND(K241&gt;=3,K241&lt;=4),2,AND(K241&gt;=5,K241&lt;=6),3,AND(K241&gt;=6,K241&lt;=9),4,AND(K241&gt;=10,K241&lt;=12),5)</f>
        <v>2</v>
      </c>
      <c r="O241" s="17" cm="1">
        <f t="array" ref="O241">_xlfn.IFS(AND(L241&gt;=4.1,L241&lt;=41.49),1,AND(L241&gt;=41.5,L241&lt;=78.86),2,AND(L241&gt;=78.87,L241&lt;=116.23),3,AND(L241&gt;=116.24,L241&lt;=153.6),4,AND(L241&gt;=153.61,L241&lt;=190.97),5)</f>
        <v>2</v>
      </c>
      <c r="P241" s="17">
        <f t="shared" si="3"/>
        <v>8</v>
      </c>
      <c r="Q241" s="17" t="str" cm="1">
        <f t="array" ref="Q241">_xlfn.IFS(P241&gt;=14,"Best Customers",AND(P241&gt;=10,P241&lt;14),"Loyal Customers",AND(P241&gt;=7,P241&lt;10),"Potential Customers",AND(P241&gt;=4,P241&lt;7),"Need Attention",P241&lt;4,"At Risk")</f>
        <v>Potential Customers</v>
      </c>
    </row>
    <row r="242" spans="1:17" x14ac:dyDescent="0.35">
      <c r="A242" t="s">
        <v>416</v>
      </c>
      <c r="B242" t="s">
        <v>329</v>
      </c>
      <c r="C242" s="1">
        <v>45743.343007002317</v>
      </c>
      <c r="D242" t="s">
        <v>13</v>
      </c>
      <c r="E242">
        <v>12.87</v>
      </c>
      <c r="I242" s="17" t="s">
        <v>268</v>
      </c>
      <c r="J242" s="18">
        <v>92.656990740739275</v>
      </c>
      <c r="K242" s="17">
        <v>7</v>
      </c>
      <c r="L242" s="17">
        <v>123.67</v>
      </c>
      <c r="M242" s="17" cm="1">
        <f t="array" ref="M242">_xlfn.IFS(AND(J242&gt;=65,J242&lt;=141),5,AND(J242&gt;141,J242&lt;=213),4,AND(J242&gt;213,J242&lt;=285),3,AND(J242&gt;285,J242&lt;=357),2,AND(J242&gt;357,J242&lt;=430),1)</f>
        <v>5</v>
      </c>
      <c r="N242" s="17" cm="1">
        <f t="array" ref="N242">_xlfn.IFS(AND(K242&gt;=1,K242&lt;=2),1,AND(K242&gt;=3,K242&lt;=4),2,AND(K242&gt;=5,K242&lt;=6),3,AND(K242&gt;=6,K242&lt;=9),4,AND(K242&gt;=10,K242&lt;=12),5)</f>
        <v>4</v>
      </c>
      <c r="O242" s="17" cm="1">
        <f t="array" ref="O242">_xlfn.IFS(AND(L242&gt;=4.1,L242&lt;=41.49),1,AND(L242&gt;=41.5,L242&lt;=78.86),2,AND(L242&gt;=78.87,L242&lt;=116.23),3,AND(L242&gt;=116.24,L242&lt;=153.6),4,AND(L242&gt;=153.61,L242&lt;=190.97),5)</f>
        <v>4</v>
      </c>
      <c r="P242" s="17">
        <f t="shared" si="3"/>
        <v>13</v>
      </c>
      <c r="Q242" s="17" t="str" cm="1">
        <f t="array" ref="Q242">_xlfn.IFS(P242&gt;=14,"Best Customers",AND(P242&gt;=10,P242&lt;14),"Loyal Customers",AND(P242&gt;=7,P242&lt;10),"Potential Customers",AND(P242&gt;=4,P242&lt;7),"Need Attention",P242&lt;4,"At Risk")</f>
        <v>Loyal Customers</v>
      </c>
    </row>
    <row r="243" spans="1:17" x14ac:dyDescent="0.35">
      <c r="A243" t="s">
        <v>417</v>
      </c>
      <c r="B243" t="s">
        <v>418</v>
      </c>
      <c r="C243" s="1">
        <v>45847.343007002317</v>
      </c>
      <c r="D243" t="s">
        <v>7</v>
      </c>
      <c r="E243">
        <v>39.47</v>
      </c>
      <c r="I243" s="17" t="s">
        <v>143</v>
      </c>
      <c r="J243" s="18">
        <v>298.65699074073927</v>
      </c>
      <c r="K243" s="17">
        <v>2</v>
      </c>
      <c r="L243" s="17">
        <v>21.060000000000002</v>
      </c>
      <c r="M243" s="17" cm="1">
        <f t="array" ref="M243">_xlfn.IFS(AND(J243&gt;=65,J243&lt;=141),5,AND(J243&gt;141,J243&lt;=213),4,AND(J243&gt;213,J243&lt;=285),3,AND(J243&gt;285,J243&lt;=357),2,AND(J243&gt;357,J243&lt;=430),1)</f>
        <v>2</v>
      </c>
      <c r="N243" s="17" cm="1">
        <f t="array" ref="N243">_xlfn.IFS(AND(K243&gt;=1,K243&lt;=2),1,AND(K243&gt;=3,K243&lt;=4),2,AND(K243&gt;=5,K243&lt;=6),3,AND(K243&gt;=6,K243&lt;=9),4,AND(K243&gt;=10,K243&lt;=12),5)</f>
        <v>1</v>
      </c>
      <c r="O243" s="17" cm="1">
        <f t="array" ref="O243">_xlfn.IFS(AND(L243&gt;=4.1,L243&lt;=41.49),1,AND(L243&gt;=41.5,L243&lt;=78.86),2,AND(L243&gt;=78.87,L243&lt;=116.23),3,AND(L243&gt;=116.24,L243&lt;=153.6),4,AND(L243&gt;=153.61,L243&lt;=190.97),5)</f>
        <v>1</v>
      </c>
      <c r="P243" s="17">
        <f t="shared" si="3"/>
        <v>4</v>
      </c>
      <c r="Q243" s="17" t="str" cm="1">
        <f t="array" ref="Q243">_xlfn.IFS(P243&gt;=14,"Best Customers",AND(P243&gt;=10,P243&lt;14),"Loyal Customers",AND(P243&gt;=7,P243&lt;10),"Potential Customers",AND(P243&gt;=4,P243&lt;7),"Need Attention",P243&lt;4,"At Risk")</f>
        <v>Need Attention</v>
      </c>
    </row>
    <row r="244" spans="1:17" x14ac:dyDescent="0.35">
      <c r="A244" t="s">
        <v>419</v>
      </c>
      <c r="B244" t="s">
        <v>420</v>
      </c>
      <c r="C244" s="1">
        <v>45941.343007002317</v>
      </c>
      <c r="D244" t="s">
        <v>16</v>
      </c>
      <c r="E244">
        <v>8.14</v>
      </c>
      <c r="I244" s="17" t="s">
        <v>353</v>
      </c>
      <c r="J244" s="18">
        <v>321.65699074073927</v>
      </c>
      <c r="K244" s="17">
        <v>1</v>
      </c>
      <c r="L244" s="17">
        <v>11.89</v>
      </c>
      <c r="M244" s="17" cm="1">
        <f t="array" ref="M244">_xlfn.IFS(AND(J244&gt;=65,J244&lt;=141),5,AND(J244&gt;141,J244&lt;=213),4,AND(J244&gt;213,J244&lt;=285),3,AND(J244&gt;285,J244&lt;=357),2,AND(J244&gt;357,J244&lt;=430),1)</f>
        <v>2</v>
      </c>
      <c r="N244" s="17" cm="1">
        <f t="array" ref="N244">_xlfn.IFS(AND(K244&gt;=1,K244&lt;=2),1,AND(K244&gt;=3,K244&lt;=4),2,AND(K244&gt;=5,K244&lt;=6),3,AND(K244&gt;=6,K244&lt;=9),4,AND(K244&gt;=10,K244&lt;=12),5)</f>
        <v>1</v>
      </c>
      <c r="O244" s="17" cm="1">
        <f t="array" ref="O244">_xlfn.IFS(AND(L244&gt;=4.1,L244&lt;=41.49),1,AND(L244&gt;=41.5,L244&lt;=78.86),2,AND(L244&gt;=78.87,L244&lt;=116.23),3,AND(L244&gt;=116.24,L244&lt;=153.6),4,AND(L244&gt;=153.61,L244&lt;=190.97),5)</f>
        <v>1</v>
      </c>
      <c r="P244" s="17">
        <f t="shared" si="3"/>
        <v>4</v>
      </c>
      <c r="Q244" s="17" t="str" cm="1">
        <f t="array" ref="Q244">_xlfn.IFS(P244&gt;=14,"Best Customers",AND(P244&gt;=10,P244&lt;14),"Loyal Customers",AND(P244&gt;=7,P244&lt;10),"Potential Customers",AND(P244&gt;=4,P244&lt;7),"Need Attention",P244&lt;4,"At Risk")</f>
        <v>Need Attention</v>
      </c>
    </row>
    <row r="245" spans="1:17" x14ac:dyDescent="0.35">
      <c r="A245" t="s">
        <v>421</v>
      </c>
      <c r="B245" t="s">
        <v>422</v>
      </c>
      <c r="C245" s="1">
        <v>45742.343007002317</v>
      </c>
      <c r="D245" t="s">
        <v>50</v>
      </c>
      <c r="E245">
        <v>5.94</v>
      </c>
      <c r="I245" s="17" t="s">
        <v>415</v>
      </c>
      <c r="J245" s="18">
        <v>175.65699074073927</v>
      </c>
      <c r="K245" s="17">
        <v>1</v>
      </c>
      <c r="L245" s="17">
        <v>4.12</v>
      </c>
      <c r="M245" s="17" cm="1">
        <f t="array" ref="M245">_xlfn.IFS(AND(J245&gt;=65,J245&lt;=141),5,AND(J245&gt;141,J245&lt;=213),4,AND(J245&gt;213,J245&lt;=285),3,AND(J245&gt;285,J245&lt;=357),2,AND(J245&gt;357,J245&lt;=430),1)</f>
        <v>4</v>
      </c>
      <c r="N245" s="17" cm="1">
        <f t="array" ref="N245">_xlfn.IFS(AND(K245&gt;=1,K245&lt;=2),1,AND(K245&gt;=3,K245&lt;=4),2,AND(K245&gt;=5,K245&lt;=6),3,AND(K245&gt;=6,K245&lt;=9),4,AND(K245&gt;=10,K245&lt;=12),5)</f>
        <v>1</v>
      </c>
      <c r="O245" s="17" cm="1">
        <f t="array" ref="O245">_xlfn.IFS(AND(L245&gt;=4.1,L245&lt;=41.49),1,AND(L245&gt;=41.5,L245&lt;=78.86),2,AND(L245&gt;=78.87,L245&lt;=116.23),3,AND(L245&gt;=116.24,L245&lt;=153.6),4,AND(L245&gt;=153.61,L245&lt;=190.97),5)</f>
        <v>1</v>
      </c>
      <c r="P245" s="17">
        <f t="shared" si="3"/>
        <v>6</v>
      </c>
      <c r="Q245" s="17" t="str" cm="1">
        <f t="array" ref="Q245">_xlfn.IFS(P245&gt;=14,"Best Customers",AND(P245&gt;=10,P245&lt;14),"Loyal Customers",AND(P245&gt;=7,P245&lt;10),"Potential Customers",AND(P245&gt;=4,P245&lt;7),"Need Attention",P245&lt;4,"At Risk")</f>
        <v>Need Attention</v>
      </c>
    </row>
    <row r="246" spans="1:17" x14ac:dyDescent="0.35">
      <c r="A246" t="s">
        <v>423</v>
      </c>
      <c r="B246" t="s">
        <v>424</v>
      </c>
      <c r="C246" s="1">
        <v>45743.343007002317</v>
      </c>
      <c r="D246" t="s">
        <v>13</v>
      </c>
      <c r="E246">
        <v>14.16</v>
      </c>
      <c r="I246" s="17" t="s">
        <v>233</v>
      </c>
      <c r="J246" s="18">
        <v>94.656990740739275</v>
      </c>
      <c r="K246" s="17">
        <v>5</v>
      </c>
      <c r="L246" s="17">
        <v>84.58</v>
      </c>
      <c r="M246" s="17" cm="1">
        <f t="array" ref="M246">_xlfn.IFS(AND(J246&gt;=65,J246&lt;=141),5,AND(J246&gt;141,J246&lt;=213),4,AND(J246&gt;213,J246&lt;=285),3,AND(J246&gt;285,J246&lt;=357),2,AND(J246&gt;357,J246&lt;=430),1)</f>
        <v>5</v>
      </c>
      <c r="N246" s="17" cm="1">
        <f t="array" ref="N246">_xlfn.IFS(AND(K246&gt;=1,K246&lt;=2),1,AND(K246&gt;=3,K246&lt;=4),2,AND(K246&gt;=5,K246&lt;=6),3,AND(K246&gt;=6,K246&lt;=9),4,AND(K246&gt;=10,K246&lt;=12),5)</f>
        <v>3</v>
      </c>
      <c r="O246" s="17" cm="1">
        <f t="array" ref="O246">_xlfn.IFS(AND(L246&gt;=4.1,L246&lt;=41.49),1,AND(L246&gt;=41.5,L246&lt;=78.86),2,AND(L246&gt;=78.87,L246&lt;=116.23),3,AND(L246&gt;=116.24,L246&lt;=153.6),4,AND(L246&gt;=153.61,L246&lt;=190.97),5)</f>
        <v>3</v>
      </c>
      <c r="P246" s="17">
        <f t="shared" si="3"/>
        <v>11</v>
      </c>
      <c r="Q246" s="17" t="str" cm="1">
        <f t="array" ref="Q246">_xlfn.IFS(P246&gt;=14,"Best Customers",AND(P246&gt;=10,P246&lt;14),"Loyal Customers",AND(P246&gt;=7,P246&lt;10),"Potential Customers",AND(P246&gt;=4,P246&lt;7),"Need Attention",P246&lt;4,"At Risk")</f>
        <v>Loyal Customers</v>
      </c>
    </row>
    <row r="247" spans="1:17" x14ac:dyDescent="0.35">
      <c r="A247" t="s">
        <v>425</v>
      </c>
      <c r="B247" t="s">
        <v>246</v>
      </c>
      <c r="C247" s="1">
        <v>45947.343007002317</v>
      </c>
      <c r="D247" t="s">
        <v>16</v>
      </c>
      <c r="E247">
        <v>10.050000000000001</v>
      </c>
      <c r="I247" s="17" t="s">
        <v>791</v>
      </c>
      <c r="J247" s="18">
        <v>320.65699074073927</v>
      </c>
      <c r="K247" s="17">
        <v>1</v>
      </c>
      <c r="L247" s="17">
        <v>12.22</v>
      </c>
      <c r="M247" s="17" cm="1">
        <f t="array" ref="M247">_xlfn.IFS(AND(J247&gt;=65,J247&lt;=141),5,AND(J247&gt;141,J247&lt;=213),4,AND(J247&gt;213,J247&lt;=285),3,AND(J247&gt;285,J247&lt;=357),2,AND(J247&gt;357,J247&lt;=430),1)</f>
        <v>2</v>
      </c>
      <c r="N247" s="17" cm="1">
        <f t="array" ref="N247">_xlfn.IFS(AND(K247&gt;=1,K247&lt;=2),1,AND(K247&gt;=3,K247&lt;=4),2,AND(K247&gt;=5,K247&lt;=6),3,AND(K247&gt;=6,K247&lt;=9),4,AND(K247&gt;=10,K247&lt;=12),5)</f>
        <v>1</v>
      </c>
      <c r="O247" s="17" cm="1">
        <f t="array" ref="O247">_xlfn.IFS(AND(L247&gt;=4.1,L247&lt;=41.49),1,AND(L247&gt;=41.5,L247&lt;=78.86),2,AND(L247&gt;=78.87,L247&lt;=116.23),3,AND(L247&gt;=116.24,L247&lt;=153.6),4,AND(L247&gt;=153.61,L247&lt;=190.97),5)</f>
        <v>1</v>
      </c>
      <c r="P247" s="17">
        <f t="shared" si="3"/>
        <v>4</v>
      </c>
      <c r="Q247" s="17" t="str" cm="1">
        <f t="array" ref="Q247">_xlfn.IFS(P247&gt;=14,"Best Customers",AND(P247&gt;=10,P247&lt;14),"Loyal Customers",AND(P247&gt;=7,P247&lt;10),"Potential Customers",AND(P247&gt;=4,P247&lt;7),"Need Attention",P247&lt;4,"At Risk")</f>
        <v>Need Attention</v>
      </c>
    </row>
    <row r="248" spans="1:17" x14ac:dyDescent="0.35">
      <c r="A248" t="s">
        <v>426</v>
      </c>
      <c r="B248" t="s">
        <v>309</v>
      </c>
      <c r="C248" s="1">
        <v>45794.343007002317</v>
      </c>
      <c r="D248" t="s">
        <v>29</v>
      </c>
      <c r="E248">
        <v>20.94</v>
      </c>
      <c r="I248" s="17" t="s">
        <v>6</v>
      </c>
      <c r="J248" s="18">
        <v>316.65699074073927</v>
      </c>
      <c r="K248" s="17">
        <v>2</v>
      </c>
      <c r="L248" s="17">
        <v>59.36</v>
      </c>
      <c r="M248" s="17" cm="1">
        <f t="array" ref="M248">_xlfn.IFS(AND(J248&gt;=65,J248&lt;=141),5,AND(J248&gt;141,J248&lt;=213),4,AND(J248&gt;213,J248&lt;=285),3,AND(J248&gt;285,J248&lt;=357),2,AND(J248&gt;357,J248&lt;=430),1)</f>
        <v>2</v>
      </c>
      <c r="N248" s="17" cm="1">
        <f t="array" ref="N248">_xlfn.IFS(AND(K248&gt;=1,K248&lt;=2),1,AND(K248&gt;=3,K248&lt;=4),2,AND(K248&gt;=5,K248&lt;=6),3,AND(K248&gt;=6,K248&lt;=9),4,AND(K248&gt;=10,K248&lt;=12),5)</f>
        <v>1</v>
      </c>
      <c r="O248" s="17" cm="1">
        <f t="array" ref="O248">_xlfn.IFS(AND(L248&gt;=4.1,L248&lt;=41.49),1,AND(L248&gt;=41.5,L248&lt;=78.86),2,AND(L248&gt;=78.87,L248&lt;=116.23),3,AND(L248&gt;=116.24,L248&lt;=153.6),4,AND(L248&gt;=153.61,L248&lt;=190.97),5)</f>
        <v>2</v>
      </c>
      <c r="P248" s="17">
        <f t="shared" si="3"/>
        <v>5</v>
      </c>
      <c r="Q248" s="17" t="str" cm="1">
        <f t="array" ref="Q248">_xlfn.IFS(P248&gt;=14,"Best Customers",AND(P248&gt;=10,P248&lt;14),"Loyal Customers",AND(P248&gt;=7,P248&lt;10),"Potential Customers",AND(P248&gt;=4,P248&lt;7),"Need Attention",P248&lt;4,"At Risk")</f>
        <v>Need Attention</v>
      </c>
    </row>
    <row r="249" spans="1:17" x14ac:dyDescent="0.35">
      <c r="A249" t="s">
        <v>427</v>
      </c>
      <c r="B249" t="s">
        <v>374</v>
      </c>
      <c r="C249" s="1">
        <v>45903.343007002317</v>
      </c>
      <c r="D249" t="s">
        <v>29</v>
      </c>
      <c r="E249">
        <v>27.55</v>
      </c>
      <c r="I249" s="17" t="s">
        <v>679</v>
      </c>
      <c r="J249" s="18">
        <v>155.65699074073927</v>
      </c>
      <c r="K249" s="17">
        <v>1</v>
      </c>
      <c r="L249" s="17">
        <v>33.6</v>
      </c>
      <c r="M249" s="17" cm="1">
        <f t="array" ref="M249">_xlfn.IFS(AND(J249&gt;=65,J249&lt;=141),5,AND(J249&gt;141,J249&lt;=213),4,AND(J249&gt;213,J249&lt;=285),3,AND(J249&gt;285,J249&lt;=357),2,AND(J249&gt;357,J249&lt;=430),1)</f>
        <v>4</v>
      </c>
      <c r="N249" s="17" cm="1">
        <f t="array" ref="N249">_xlfn.IFS(AND(K249&gt;=1,K249&lt;=2),1,AND(K249&gt;=3,K249&lt;=4),2,AND(K249&gt;=5,K249&lt;=6),3,AND(K249&gt;=6,K249&lt;=9),4,AND(K249&gt;=10,K249&lt;=12),5)</f>
        <v>1</v>
      </c>
      <c r="O249" s="17" cm="1">
        <f t="array" ref="O249">_xlfn.IFS(AND(L249&gt;=4.1,L249&lt;=41.49),1,AND(L249&gt;=41.5,L249&lt;=78.86),2,AND(L249&gt;=78.87,L249&lt;=116.23),3,AND(L249&gt;=116.24,L249&lt;=153.6),4,AND(L249&gt;=153.61,L249&lt;=190.97),5)</f>
        <v>1</v>
      </c>
      <c r="P249" s="17">
        <f t="shared" si="3"/>
        <v>6</v>
      </c>
      <c r="Q249" s="17" t="str" cm="1">
        <f t="array" ref="Q249">_xlfn.IFS(P249&gt;=14,"Best Customers",AND(P249&gt;=10,P249&lt;14),"Loyal Customers",AND(P249&gt;=7,P249&lt;10),"Potential Customers",AND(P249&gt;=4,P249&lt;7),"Need Attention",P249&lt;4,"At Risk")</f>
        <v>Need Attention</v>
      </c>
    </row>
    <row r="250" spans="1:17" x14ac:dyDescent="0.35">
      <c r="A250" t="s">
        <v>428</v>
      </c>
      <c r="B250" t="s">
        <v>429</v>
      </c>
      <c r="C250" s="1">
        <v>45723.343007002317</v>
      </c>
      <c r="D250" t="s">
        <v>50</v>
      </c>
      <c r="E250">
        <v>4.9800000000000004</v>
      </c>
      <c r="I250" s="17" t="s">
        <v>18</v>
      </c>
      <c r="J250" s="18">
        <v>108.65699074073927</v>
      </c>
      <c r="K250" s="17">
        <v>6</v>
      </c>
      <c r="L250" s="17">
        <v>60.890000000000008</v>
      </c>
      <c r="M250" s="17" cm="1">
        <f t="array" ref="M250">_xlfn.IFS(AND(J250&gt;=65,J250&lt;=141),5,AND(J250&gt;141,J250&lt;=213),4,AND(J250&gt;213,J250&lt;=285),3,AND(J250&gt;285,J250&lt;=357),2,AND(J250&gt;357,J250&lt;=430),1)</f>
        <v>5</v>
      </c>
      <c r="N250" s="17" cm="1">
        <f t="array" ref="N250">_xlfn.IFS(AND(K250&gt;=1,K250&lt;=2),1,AND(K250&gt;=3,K250&lt;=4),2,AND(K250&gt;=5,K250&lt;=6),3,AND(K250&gt;=6,K250&lt;=9),4,AND(K250&gt;=10,K250&lt;=12),5)</f>
        <v>3</v>
      </c>
      <c r="O250" s="17" cm="1">
        <f t="array" ref="O250">_xlfn.IFS(AND(L250&gt;=4.1,L250&lt;=41.49),1,AND(L250&gt;=41.5,L250&lt;=78.86),2,AND(L250&gt;=78.87,L250&lt;=116.23),3,AND(L250&gt;=116.24,L250&lt;=153.6),4,AND(L250&gt;=153.61,L250&lt;=190.97),5)</f>
        <v>2</v>
      </c>
      <c r="P250" s="17">
        <f t="shared" si="3"/>
        <v>10</v>
      </c>
      <c r="Q250" s="17" t="str" cm="1">
        <f t="array" ref="Q250">_xlfn.IFS(P250&gt;=14,"Best Customers",AND(P250&gt;=10,P250&lt;14),"Loyal Customers",AND(P250&gt;=7,P250&lt;10),"Potential Customers",AND(P250&gt;=4,P250&lt;7),"Need Attention",P250&lt;4,"At Risk")</f>
        <v>Loyal Customers</v>
      </c>
    </row>
    <row r="251" spans="1:17" x14ac:dyDescent="0.35">
      <c r="A251" t="s">
        <v>430</v>
      </c>
      <c r="B251" t="s">
        <v>303</v>
      </c>
      <c r="C251" s="1">
        <v>45634.343007002317</v>
      </c>
      <c r="D251" t="s">
        <v>13</v>
      </c>
      <c r="E251">
        <v>11.05</v>
      </c>
      <c r="I251" s="17" t="s">
        <v>694</v>
      </c>
      <c r="J251" s="18">
        <v>76.656990740739275</v>
      </c>
      <c r="K251" s="17">
        <v>5</v>
      </c>
      <c r="L251" s="17">
        <v>121.51</v>
      </c>
      <c r="M251" s="17" cm="1">
        <f t="array" ref="M251">_xlfn.IFS(AND(J251&gt;=65,J251&lt;=141),5,AND(J251&gt;141,J251&lt;=213),4,AND(J251&gt;213,J251&lt;=285),3,AND(J251&gt;285,J251&lt;=357),2,AND(J251&gt;357,J251&lt;=430),1)</f>
        <v>5</v>
      </c>
      <c r="N251" s="17" cm="1">
        <f t="array" ref="N251">_xlfn.IFS(AND(K251&gt;=1,K251&lt;=2),1,AND(K251&gt;=3,K251&lt;=4),2,AND(K251&gt;=5,K251&lt;=6),3,AND(K251&gt;=6,K251&lt;=9),4,AND(K251&gt;=10,K251&lt;=12),5)</f>
        <v>3</v>
      </c>
      <c r="O251" s="17" cm="1">
        <f t="array" ref="O251">_xlfn.IFS(AND(L251&gt;=4.1,L251&lt;=41.49),1,AND(L251&gt;=41.5,L251&lt;=78.86),2,AND(L251&gt;=78.87,L251&lt;=116.23),3,AND(L251&gt;=116.24,L251&lt;=153.6),4,AND(L251&gt;=153.61,L251&lt;=190.97),5)</f>
        <v>4</v>
      </c>
      <c r="P251" s="17">
        <f t="shared" si="3"/>
        <v>12</v>
      </c>
      <c r="Q251" s="17" t="str" cm="1">
        <f t="array" ref="Q251">_xlfn.IFS(P251&gt;=14,"Best Customers",AND(P251&gt;=10,P251&lt;14),"Loyal Customers",AND(P251&gt;=7,P251&lt;10),"Potential Customers",AND(P251&gt;=4,P251&lt;7),"Need Attention",P251&lt;4,"At Risk")</f>
        <v>Loyal Customers</v>
      </c>
    </row>
    <row r="252" spans="1:17" x14ac:dyDescent="0.35">
      <c r="A252" t="s">
        <v>431</v>
      </c>
      <c r="B252" t="s">
        <v>266</v>
      </c>
      <c r="C252" s="1">
        <v>45933.343007002317</v>
      </c>
      <c r="D252" t="s">
        <v>13</v>
      </c>
      <c r="E252">
        <v>11.96</v>
      </c>
      <c r="I252" s="17" t="s">
        <v>382</v>
      </c>
      <c r="J252" s="18">
        <v>157.65699074073927</v>
      </c>
      <c r="K252" s="17">
        <v>3</v>
      </c>
      <c r="L252" s="17">
        <v>57.67</v>
      </c>
      <c r="M252" s="17" cm="1">
        <f t="array" ref="M252">_xlfn.IFS(AND(J252&gt;=65,J252&lt;=141),5,AND(J252&gt;141,J252&lt;=213),4,AND(J252&gt;213,J252&lt;=285),3,AND(J252&gt;285,J252&lt;=357),2,AND(J252&gt;357,J252&lt;=430),1)</f>
        <v>4</v>
      </c>
      <c r="N252" s="17" cm="1">
        <f t="array" ref="N252">_xlfn.IFS(AND(K252&gt;=1,K252&lt;=2),1,AND(K252&gt;=3,K252&lt;=4),2,AND(K252&gt;=5,K252&lt;=6),3,AND(K252&gt;=6,K252&lt;=9),4,AND(K252&gt;=10,K252&lt;=12),5)</f>
        <v>2</v>
      </c>
      <c r="O252" s="17" cm="1">
        <f t="array" ref="O252">_xlfn.IFS(AND(L252&gt;=4.1,L252&lt;=41.49),1,AND(L252&gt;=41.5,L252&lt;=78.86),2,AND(L252&gt;=78.87,L252&lt;=116.23),3,AND(L252&gt;=116.24,L252&lt;=153.6),4,AND(L252&gt;=153.61,L252&lt;=190.97),5)</f>
        <v>2</v>
      </c>
      <c r="P252" s="17">
        <f t="shared" si="3"/>
        <v>8</v>
      </c>
      <c r="Q252" s="17" t="str" cm="1">
        <f t="array" ref="Q252">_xlfn.IFS(P252&gt;=14,"Best Customers",AND(P252&gt;=10,P252&lt;14),"Loyal Customers",AND(P252&gt;=7,P252&lt;10),"Potential Customers",AND(P252&gt;=4,P252&lt;7),"Need Attention",P252&lt;4,"At Risk")</f>
        <v>Potential Customers</v>
      </c>
    </row>
    <row r="253" spans="1:17" x14ac:dyDescent="0.35">
      <c r="A253" t="s">
        <v>432</v>
      </c>
      <c r="B253" t="s">
        <v>300</v>
      </c>
      <c r="C253" s="1">
        <v>45955.343007002317</v>
      </c>
      <c r="D253" t="s">
        <v>16</v>
      </c>
      <c r="E253">
        <v>10.09</v>
      </c>
      <c r="I253" s="17" t="s">
        <v>334</v>
      </c>
      <c r="J253" s="18">
        <v>96.656990740739275</v>
      </c>
      <c r="K253" s="17">
        <v>6</v>
      </c>
      <c r="L253" s="17">
        <v>126.84</v>
      </c>
      <c r="M253" s="17" cm="1">
        <f t="array" ref="M253">_xlfn.IFS(AND(J253&gt;=65,J253&lt;=141),5,AND(J253&gt;141,J253&lt;=213),4,AND(J253&gt;213,J253&lt;=285),3,AND(J253&gt;285,J253&lt;=357),2,AND(J253&gt;357,J253&lt;=430),1)</f>
        <v>5</v>
      </c>
      <c r="N253" s="17" cm="1">
        <f t="array" ref="N253">_xlfn.IFS(AND(K253&gt;=1,K253&lt;=2),1,AND(K253&gt;=3,K253&lt;=4),2,AND(K253&gt;=5,K253&lt;=6),3,AND(K253&gt;=6,K253&lt;=9),4,AND(K253&gt;=10,K253&lt;=12),5)</f>
        <v>3</v>
      </c>
      <c r="O253" s="17" cm="1">
        <f t="array" ref="O253">_xlfn.IFS(AND(L253&gt;=4.1,L253&lt;=41.49),1,AND(L253&gt;=41.5,L253&lt;=78.86),2,AND(L253&gt;=78.87,L253&lt;=116.23),3,AND(L253&gt;=116.24,L253&lt;=153.6),4,AND(L253&gt;=153.61,L253&lt;=190.97),5)</f>
        <v>4</v>
      </c>
      <c r="P253" s="17">
        <f t="shared" si="3"/>
        <v>12</v>
      </c>
      <c r="Q253" s="17" t="str" cm="1">
        <f t="array" ref="Q253">_xlfn.IFS(P253&gt;=14,"Best Customers",AND(P253&gt;=10,P253&lt;14),"Loyal Customers",AND(P253&gt;=7,P253&lt;10),"Potential Customers",AND(P253&gt;=4,P253&lt;7),"Need Attention",P253&lt;4,"At Risk")</f>
        <v>Loyal Customers</v>
      </c>
    </row>
    <row r="254" spans="1:17" x14ac:dyDescent="0.35">
      <c r="A254" t="s">
        <v>433</v>
      </c>
      <c r="B254" t="s">
        <v>434</v>
      </c>
      <c r="C254" s="1">
        <v>45724.343007002317</v>
      </c>
      <c r="D254" t="s">
        <v>16</v>
      </c>
      <c r="E254">
        <v>10.25</v>
      </c>
      <c r="I254" s="17" t="s">
        <v>37</v>
      </c>
      <c r="J254" s="18">
        <v>74.656990740739275</v>
      </c>
      <c r="K254" s="17">
        <v>2</v>
      </c>
      <c r="L254" s="17">
        <v>50.75</v>
      </c>
      <c r="M254" s="17" cm="1">
        <f t="array" ref="M254">_xlfn.IFS(AND(J254&gt;=65,J254&lt;=141),5,AND(J254&gt;141,J254&lt;=213),4,AND(J254&gt;213,J254&lt;=285),3,AND(J254&gt;285,J254&lt;=357),2,AND(J254&gt;357,J254&lt;=430),1)</f>
        <v>5</v>
      </c>
      <c r="N254" s="17" cm="1">
        <f t="array" ref="N254">_xlfn.IFS(AND(K254&gt;=1,K254&lt;=2),1,AND(K254&gt;=3,K254&lt;=4),2,AND(K254&gt;=5,K254&lt;=6),3,AND(K254&gt;=6,K254&lt;=9),4,AND(K254&gt;=10,K254&lt;=12),5)</f>
        <v>1</v>
      </c>
      <c r="O254" s="17" cm="1">
        <f t="array" ref="O254">_xlfn.IFS(AND(L254&gt;=4.1,L254&lt;=41.49),1,AND(L254&gt;=41.5,L254&lt;=78.86),2,AND(L254&gt;=78.87,L254&lt;=116.23),3,AND(L254&gt;=116.24,L254&lt;=153.6),4,AND(L254&gt;=153.61,L254&lt;=190.97),5)</f>
        <v>2</v>
      </c>
      <c r="P254" s="17">
        <f t="shared" si="3"/>
        <v>8</v>
      </c>
      <c r="Q254" s="17" t="str" cm="1">
        <f t="array" ref="Q254">_xlfn.IFS(P254&gt;=14,"Best Customers",AND(P254&gt;=10,P254&lt;14),"Loyal Customers",AND(P254&gt;=7,P254&lt;10),"Potential Customers",AND(P254&gt;=4,P254&lt;7),"Need Attention",P254&lt;4,"At Risk")</f>
        <v>Potential Customers</v>
      </c>
    </row>
    <row r="255" spans="1:17" x14ac:dyDescent="0.35">
      <c r="A255" t="s">
        <v>435</v>
      </c>
      <c r="B255" t="s">
        <v>177</v>
      </c>
      <c r="C255" s="1">
        <v>45862.343007002317</v>
      </c>
      <c r="D255" t="s">
        <v>13</v>
      </c>
      <c r="E255">
        <v>11.72</v>
      </c>
      <c r="I255" s="17" t="s">
        <v>340</v>
      </c>
      <c r="J255" s="18">
        <v>161.65699074073927</v>
      </c>
      <c r="K255" s="17">
        <v>4</v>
      </c>
      <c r="L255" s="17">
        <v>37.729999999999997</v>
      </c>
      <c r="M255" s="17" cm="1">
        <f t="array" ref="M255">_xlfn.IFS(AND(J255&gt;=65,J255&lt;=141),5,AND(J255&gt;141,J255&lt;=213),4,AND(J255&gt;213,J255&lt;=285),3,AND(J255&gt;285,J255&lt;=357),2,AND(J255&gt;357,J255&lt;=430),1)</f>
        <v>4</v>
      </c>
      <c r="N255" s="17" cm="1">
        <f t="array" ref="N255">_xlfn.IFS(AND(K255&gt;=1,K255&lt;=2),1,AND(K255&gt;=3,K255&lt;=4),2,AND(K255&gt;=5,K255&lt;=6),3,AND(K255&gt;=6,K255&lt;=9),4,AND(K255&gt;=10,K255&lt;=12),5)</f>
        <v>2</v>
      </c>
      <c r="O255" s="17" cm="1">
        <f t="array" ref="O255">_xlfn.IFS(AND(L255&gt;=4.1,L255&lt;=41.49),1,AND(L255&gt;=41.5,L255&lt;=78.86),2,AND(L255&gt;=78.87,L255&lt;=116.23),3,AND(L255&gt;=116.24,L255&lt;=153.6),4,AND(L255&gt;=153.61,L255&lt;=190.97),5)</f>
        <v>1</v>
      </c>
      <c r="P255" s="17">
        <f t="shared" si="3"/>
        <v>7</v>
      </c>
      <c r="Q255" s="17" t="str" cm="1">
        <f t="array" ref="Q255">_xlfn.IFS(P255&gt;=14,"Best Customers",AND(P255&gt;=10,P255&lt;14),"Loyal Customers",AND(P255&gt;=7,P255&lt;10),"Potential Customers",AND(P255&gt;=4,P255&lt;7),"Need Attention",P255&lt;4,"At Risk")</f>
        <v>Potential Customers</v>
      </c>
    </row>
    <row r="256" spans="1:17" x14ac:dyDescent="0.35">
      <c r="A256" t="s">
        <v>436</v>
      </c>
      <c r="B256" t="s">
        <v>434</v>
      </c>
      <c r="C256" s="1">
        <v>45746.343007002317</v>
      </c>
      <c r="D256" t="s">
        <v>16</v>
      </c>
      <c r="E256">
        <v>10.42</v>
      </c>
      <c r="I256" s="17" t="s">
        <v>62</v>
      </c>
      <c r="J256" s="18">
        <v>195.65699074073927</v>
      </c>
      <c r="K256" s="17">
        <v>6</v>
      </c>
      <c r="L256" s="17">
        <v>140.88999999999999</v>
      </c>
      <c r="M256" s="17" cm="1">
        <f t="array" ref="M256">_xlfn.IFS(AND(J256&gt;=65,J256&lt;=141),5,AND(J256&gt;141,J256&lt;=213),4,AND(J256&gt;213,J256&lt;=285),3,AND(J256&gt;285,J256&lt;=357),2,AND(J256&gt;357,J256&lt;=430),1)</f>
        <v>4</v>
      </c>
      <c r="N256" s="17" cm="1">
        <f t="array" ref="N256">_xlfn.IFS(AND(K256&gt;=1,K256&lt;=2),1,AND(K256&gt;=3,K256&lt;=4),2,AND(K256&gt;=5,K256&lt;=6),3,AND(K256&gt;=6,K256&lt;=9),4,AND(K256&gt;=10,K256&lt;=12),5)</f>
        <v>3</v>
      </c>
      <c r="O256" s="17" cm="1">
        <f t="array" ref="O256">_xlfn.IFS(AND(L256&gt;=4.1,L256&lt;=41.49),1,AND(L256&gt;=41.5,L256&lt;=78.86),2,AND(L256&gt;=78.87,L256&lt;=116.23),3,AND(L256&gt;=116.24,L256&lt;=153.6),4,AND(L256&gt;=153.61,L256&lt;=190.97),5)</f>
        <v>4</v>
      </c>
      <c r="P256" s="17">
        <f t="shared" si="3"/>
        <v>11</v>
      </c>
      <c r="Q256" s="17" t="str" cm="1">
        <f t="array" ref="Q256">_xlfn.IFS(P256&gt;=14,"Best Customers",AND(P256&gt;=10,P256&lt;14),"Loyal Customers",AND(P256&gt;=7,P256&lt;10),"Potential Customers",AND(P256&gt;=4,P256&lt;7),"Need Attention",P256&lt;4,"At Risk")</f>
        <v>Loyal Customers</v>
      </c>
    </row>
    <row r="257" spans="1:17" x14ac:dyDescent="0.35">
      <c r="A257" t="s">
        <v>437</v>
      </c>
      <c r="B257" t="s">
        <v>96</v>
      </c>
      <c r="C257" s="1">
        <v>45893.343007002317</v>
      </c>
      <c r="D257" t="s">
        <v>13</v>
      </c>
      <c r="E257">
        <v>14.01</v>
      </c>
      <c r="I257" s="17" t="s">
        <v>487</v>
      </c>
      <c r="J257" s="18">
        <v>281.65699074073927</v>
      </c>
      <c r="K257" s="17">
        <v>3</v>
      </c>
      <c r="L257" s="17">
        <v>80.47</v>
      </c>
      <c r="M257" s="17" cm="1">
        <f t="array" ref="M257">_xlfn.IFS(AND(J257&gt;=65,J257&lt;=141),5,AND(J257&gt;141,J257&lt;=213),4,AND(J257&gt;213,J257&lt;=285),3,AND(J257&gt;285,J257&lt;=357),2,AND(J257&gt;357,J257&lt;=430),1)</f>
        <v>3</v>
      </c>
      <c r="N257" s="17" cm="1">
        <f t="array" ref="N257">_xlfn.IFS(AND(K257&gt;=1,K257&lt;=2),1,AND(K257&gt;=3,K257&lt;=4),2,AND(K257&gt;=5,K257&lt;=6),3,AND(K257&gt;=6,K257&lt;=9),4,AND(K257&gt;=10,K257&lt;=12),5)</f>
        <v>2</v>
      </c>
      <c r="O257" s="17" cm="1">
        <f t="array" ref="O257">_xlfn.IFS(AND(L257&gt;=4.1,L257&lt;=41.49),1,AND(L257&gt;=41.5,L257&lt;=78.86),2,AND(L257&gt;=78.87,L257&lt;=116.23),3,AND(L257&gt;=116.24,L257&lt;=153.6),4,AND(L257&gt;=153.61,L257&lt;=190.97),5)</f>
        <v>3</v>
      </c>
      <c r="P257" s="17">
        <f t="shared" si="3"/>
        <v>8</v>
      </c>
      <c r="Q257" s="17" t="str" cm="1">
        <f t="array" ref="Q257">_xlfn.IFS(P257&gt;=14,"Best Customers",AND(P257&gt;=10,P257&lt;14),"Loyal Customers",AND(P257&gt;=7,P257&lt;10),"Potential Customers",AND(P257&gt;=4,P257&lt;7),"Need Attention",P257&lt;4,"At Risk")</f>
        <v>Potential Customers</v>
      </c>
    </row>
    <row r="258" spans="1:17" x14ac:dyDescent="0.35">
      <c r="A258" t="s">
        <v>438</v>
      </c>
      <c r="B258" t="s">
        <v>439</v>
      </c>
      <c r="C258" s="1">
        <v>45694.343007002317</v>
      </c>
      <c r="D258" t="s">
        <v>7</v>
      </c>
      <c r="E258">
        <v>37.799999999999997</v>
      </c>
      <c r="I258" s="17" t="s">
        <v>633</v>
      </c>
      <c r="J258" s="18">
        <v>254.65699074073927</v>
      </c>
      <c r="K258" s="17">
        <v>4</v>
      </c>
      <c r="L258" s="17">
        <v>70.960000000000008</v>
      </c>
      <c r="M258" s="17" cm="1">
        <f t="array" ref="M258">_xlfn.IFS(AND(J258&gt;=65,J258&lt;=141),5,AND(J258&gt;141,J258&lt;=213),4,AND(J258&gt;213,J258&lt;=285),3,AND(J258&gt;285,J258&lt;=357),2,AND(J258&gt;357,J258&lt;=430),1)</f>
        <v>3</v>
      </c>
      <c r="N258" s="17" cm="1">
        <f t="array" ref="N258">_xlfn.IFS(AND(K258&gt;=1,K258&lt;=2),1,AND(K258&gt;=3,K258&lt;=4),2,AND(K258&gt;=5,K258&lt;=6),3,AND(K258&gt;=6,K258&lt;=9),4,AND(K258&gt;=10,K258&lt;=12),5)</f>
        <v>2</v>
      </c>
      <c r="O258" s="17" cm="1">
        <f t="array" ref="O258">_xlfn.IFS(AND(L258&gt;=4.1,L258&lt;=41.49),1,AND(L258&gt;=41.5,L258&lt;=78.86),2,AND(L258&gt;=78.87,L258&lt;=116.23),3,AND(L258&gt;=116.24,L258&lt;=153.6),4,AND(L258&gt;=153.61,L258&lt;=190.97),5)</f>
        <v>2</v>
      </c>
      <c r="P258" s="17">
        <f t="shared" si="3"/>
        <v>7</v>
      </c>
      <c r="Q258" s="17" t="str" cm="1">
        <f t="array" ref="Q258">_xlfn.IFS(P258&gt;=14,"Best Customers",AND(P258&gt;=10,P258&lt;14),"Loyal Customers",AND(P258&gt;=7,P258&lt;10),"Potential Customers",AND(P258&gt;=4,P258&lt;7),"Need Attention",P258&lt;4,"At Risk")</f>
        <v>Potential Customers</v>
      </c>
    </row>
    <row r="259" spans="1:17" x14ac:dyDescent="0.35">
      <c r="A259" t="s">
        <v>440</v>
      </c>
      <c r="B259" t="s">
        <v>441</v>
      </c>
      <c r="C259" s="1">
        <v>45858.343007002317</v>
      </c>
      <c r="D259" t="s">
        <v>13</v>
      </c>
      <c r="E259">
        <v>13.08</v>
      </c>
      <c r="I259" s="17" t="s">
        <v>66</v>
      </c>
      <c r="J259" s="18">
        <v>198.65699074073927</v>
      </c>
      <c r="K259" s="17">
        <v>4</v>
      </c>
      <c r="L259" s="17">
        <v>83.37</v>
      </c>
      <c r="M259" s="17" cm="1">
        <f t="array" ref="M259">_xlfn.IFS(AND(J259&gt;=65,J259&lt;=141),5,AND(J259&gt;141,J259&lt;=213),4,AND(J259&gt;213,J259&lt;=285),3,AND(J259&gt;285,J259&lt;=357),2,AND(J259&gt;357,J259&lt;=430),1)</f>
        <v>4</v>
      </c>
      <c r="N259" s="17" cm="1">
        <f t="array" ref="N259">_xlfn.IFS(AND(K259&gt;=1,K259&lt;=2),1,AND(K259&gt;=3,K259&lt;=4),2,AND(K259&gt;=5,K259&lt;=6),3,AND(K259&gt;=6,K259&lt;=9),4,AND(K259&gt;=10,K259&lt;=12),5)</f>
        <v>2</v>
      </c>
      <c r="O259" s="17" cm="1">
        <f t="array" ref="O259">_xlfn.IFS(AND(L259&gt;=4.1,L259&lt;=41.49),1,AND(L259&gt;=41.5,L259&lt;=78.86),2,AND(L259&gt;=78.87,L259&lt;=116.23),3,AND(L259&gt;=116.24,L259&lt;=153.6),4,AND(L259&gt;=153.61,L259&lt;=190.97),5)</f>
        <v>3</v>
      </c>
      <c r="P259" s="17">
        <f t="shared" si="3"/>
        <v>9</v>
      </c>
      <c r="Q259" s="17" t="str" cm="1">
        <f t="array" ref="Q259">_xlfn.IFS(P259&gt;=14,"Best Customers",AND(P259&gt;=10,P259&lt;14),"Loyal Customers",AND(P259&gt;=7,P259&lt;10),"Potential Customers",AND(P259&gt;=4,P259&lt;7),"Need Attention",P259&lt;4,"At Risk")</f>
        <v>Potential Customers</v>
      </c>
    </row>
    <row r="260" spans="1:17" x14ac:dyDescent="0.35">
      <c r="A260" t="s">
        <v>442</v>
      </c>
      <c r="B260" t="s">
        <v>86</v>
      </c>
      <c r="C260" s="1">
        <v>45847.343007002317</v>
      </c>
      <c r="D260" t="s">
        <v>29</v>
      </c>
      <c r="E260">
        <v>28.94</v>
      </c>
      <c r="I260" s="17" t="s">
        <v>856</v>
      </c>
      <c r="J260" s="18">
        <v>112.65699074073927</v>
      </c>
      <c r="K260" s="17">
        <v>5</v>
      </c>
      <c r="L260" s="17">
        <v>117.98</v>
      </c>
      <c r="M260" s="17" cm="1">
        <f t="array" ref="M260">_xlfn.IFS(AND(J260&gt;=65,J260&lt;=141),5,AND(J260&gt;141,J260&lt;=213),4,AND(J260&gt;213,J260&lt;=285),3,AND(J260&gt;285,J260&lt;=357),2,AND(J260&gt;357,J260&lt;=430),1)</f>
        <v>5</v>
      </c>
      <c r="N260" s="17" cm="1">
        <f t="array" ref="N260">_xlfn.IFS(AND(K260&gt;=1,K260&lt;=2),1,AND(K260&gt;=3,K260&lt;=4),2,AND(K260&gt;=5,K260&lt;=6),3,AND(K260&gt;=6,K260&lt;=9),4,AND(K260&gt;=10,K260&lt;=12),5)</f>
        <v>3</v>
      </c>
      <c r="O260" s="17" cm="1">
        <f t="array" ref="O260">_xlfn.IFS(AND(L260&gt;=4.1,L260&lt;=41.49),1,AND(L260&gt;=41.5,L260&lt;=78.86),2,AND(L260&gt;=78.87,L260&lt;=116.23),3,AND(L260&gt;=116.24,L260&lt;=153.6),4,AND(L260&gt;=153.61,L260&lt;=190.97),5)</f>
        <v>4</v>
      </c>
      <c r="P260" s="17">
        <f t="shared" ref="P260:P289" si="4">SUM(M260:O260)</f>
        <v>12</v>
      </c>
      <c r="Q260" s="17" t="str" cm="1">
        <f t="array" ref="Q260">_xlfn.IFS(P260&gt;=14,"Best Customers",AND(P260&gt;=10,P260&lt;14),"Loyal Customers",AND(P260&gt;=7,P260&lt;10),"Potential Customers",AND(P260&gt;=4,P260&lt;7),"Need Attention",P260&lt;4,"At Risk")</f>
        <v>Loyal Customers</v>
      </c>
    </row>
    <row r="261" spans="1:17" x14ac:dyDescent="0.35">
      <c r="A261" t="s">
        <v>443</v>
      </c>
      <c r="B261" t="s">
        <v>444</v>
      </c>
      <c r="C261" s="1">
        <v>45739.343007002317</v>
      </c>
      <c r="D261" t="s">
        <v>16</v>
      </c>
      <c r="E261">
        <v>9.82</v>
      </c>
      <c r="I261" s="17" t="s">
        <v>647</v>
      </c>
      <c r="J261" s="18">
        <v>429.65699074073927</v>
      </c>
      <c r="K261" s="17">
        <v>1</v>
      </c>
      <c r="L261" s="17">
        <v>4.37</v>
      </c>
      <c r="M261" s="17" cm="1">
        <f t="array" ref="M261">_xlfn.IFS(AND(J261&gt;=65,J261&lt;=141),5,AND(J261&gt;141,J261&lt;=213),4,AND(J261&gt;213,J261&lt;=285),3,AND(J261&gt;285,J261&lt;=357),2,AND(J261&gt;357,J261&lt;=430),1)</f>
        <v>1</v>
      </c>
      <c r="N261" s="17" cm="1">
        <f t="array" ref="N261">_xlfn.IFS(AND(K261&gt;=1,K261&lt;=2),1,AND(K261&gt;=3,K261&lt;=4),2,AND(K261&gt;=5,K261&lt;=6),3,AND(K261&gt;=6,K261&lt;=9),4,AND(K261&gt;=10,K261&lt;=12),5)</f>
        <v>1</v>
      </c>
      <c r="O261" s="17" cm="1">
        <f t="array" ref="O261">_xlfn.IFS(AND(L261&gt;=4.1,L261&lt;=41.49),1,AND(L261&gt;=41.5,L261&lt;=78.86),2,AND(L261&gt;=78.87,L261&lt;=116.23),3,AND(L261&gt;=116.24,L261&lt;=153.6),4,AND(L261&gt;=153.61,L261&lt;=190.97),5)</f>
        <v>1</v>
      </c>
      <c r="P261" s="17">
        <f t="shared" si="4"/>
        <v>3</v>
      </c>
      <c r="Q261" s="17" t="str" cm="1">
        <f t="array" ref="Q261">_xlfn.IFS(P261&gt;=14,"Best Customers",AND(P261&gt;=10,P261&lt;14),"Loyal Customers",AND(P261&gt;=7,P261&lt;10),"Potential Customers",AND(P261&gt;=4,P261&lt;7),"Need Attention",P261&lt;4,"At Risk")</f>
        <v>At Risk</v>
      </c>
    </row>
    <row r="262" spans="1:17" x14ac:dyDescent="0.35">
      <c r="A262" t="s">
        <v>445</v>
      </c>
      <c r="B262" t="s">
        <v>446</v>
      </c>
      <c r="C262" s="1">
        <v>45941.343007002317</v>
      </c>
      <c r="D262" t="s">
        <v>13</v>
      </c>
      <c r="E262">
        <v>11.73</v>
      </c>
      <c r="I262" s="17" t="s">
        <v>35</v>
      </c>
      <c r="J262" s="18">
        <v>261.65699074073927</v>
      </c>
      <c r="K262" s="17">
        <v>3</v>
      </c>
      <c r="L262" s="17">
        <v>55.449999999999996</v>
      </c>
      <c r="M262" s="17" cm="1">
        <f t="array" ref="M262">_xlfn.IFS(AND(J262&gt;=65,J262&lt;=141),5,AND(J262&gt;141,J262&lt;=213),4,AND(J262&gt;213,J262&lt;=285),3,AND(J262&gt;285,J262&lt;=357),2,AND(J262&gt;357,J262&lt;=430),1)</f>
        <v>3</v>
      </c>
      <c r="N262" s="17" cm="1">
        <f t="array" ref="N262">_xlfn.IFS(AND(K262&gt;=1,K262&lt;=2),1,AND(K262&gt;=3,K262&lt;=4),2,AND(K262&gt;=5,K262&lt;=6),3,AND(K262&gt;=6,K262&lt;=9),4,AND(K262&gt;=10,K262&lt;=12),5)</f>
        <v>2</v>
      </c>
      <c r="O262" s="17" cm="1">
        <f t="array" ref="O262">_xlfn.IFS(AND(L262&gt;=4.1,L262&lt;=41.49),1,AND(L262&gt;=41.5,L262&lt;=78.86),2,AND(L262&gt;=78.87,L262&lt;=116.23),3,AND(L262&gt;=116.24,L262&lt;=153.6),4,AND(L262&gt;=153.61,L262&lt;=190.97),5)</f>
        <v>2</v>
      </c>
      <c r="P262" s="17">
        <f t="shared" si="4"/>
        <v>7</v>
      </c>
      <c r="Q262" s="17" t="str" cm="1">
        <f t="array" ref="Q262">_xlfn.IFS(P262&gt;=14,"Best Customers",AND(P262&gt;=10,P262&lt;14),"Loyal Customers",AND(P262&gt;=7,P262&lt;10),"Potential Customers",AND(P262&gt;=4,P262&lt;7),"Need Attention",P262&lt;4,"At Risk")</f>
        <v>Potential Customers</v>
      </c>
    </row>
    <row r="263" spans="1:17" x14ac:dyDescent="0.35">
      <c r="A263" t="s">
        <v>447</v>
      </c>
      <c r="B263" t="s">
        <v>448</v>
      </c>
      <c r="C263" s="1">
        <v>45707.343007002317</v>
      </c>
      <c r="D263" t="s">
        <v>13</v>
      </c>
      <c r="E263">
        <v>12.49</v>
      </c>
      <c r="I263" s="17" t="s">
        <v>636</v>
      </c>
      <c r="J263" s="18">
        <v>108.65699074073927</v>
      </c>
      <c r="K263" s="17">
        <v>3</v>
      </c>
      <c r="L263" s="17">
        <v>71.960000000000008</v>
      </c>
      <c r="M263" s="17" cm="1">
        <f t="array" ref="M263">_xlfn.IFS(AND(J263&gt;=65,J263&lt;=141),5,AND(J263&gt;141,J263&lt;=213),4,AND(J263&gt;213,J263&lt;=285),3,AND(J263&gt;285,J263&lt;=357),2,AND(J263&gt;357,J263&lt;=430),1)</f>
        <v>5</v>
      </c>
      <c r="N263" s="17" cm="1">
        <f t="array" ref="N263">_xlfn.IFS(AND(K263&gt;=1,K263&lt;=2),1,AND(K263&gt;=3,K263&lt;=4),2,AND(K263&gt;=5,K263&lt;=6),3,AND(K263&gt;=6,K263&lt;=9),4,AND(K263&gt;=10,K263&lt;=12),5)</f>
        <v>2</v>
      </c>
      <c r="O263" s="17" cm="1">
        <f t="array" ref="O263">_xlfn.IFS(AND(L263&gt;=4.1,L263&lt;=41.49),1,AND(L263&gt;=41.5,L263&lt;=78.86),2,AND(L263&gt;=78.87,L263&lt;=116.23),3,AND(L263&gt;=116.24,L263&lt;=153.6),4,AND(L263&gt;=153.61,L263&lt;=190.97),5)</f>
        <v>2</v>
      </c>
      <c r="P263" s="17">
        <f t="shared" si="4"/>
        <v>9</v>
      </c>
      <c r="Q263" s="17" t="str" cm="1">
        <f t="array" ref="Q263">_xlfn.IFS(P263&gt;=14,"Best Customers",AND(P263&gt;=10,P263&lt;14),"Loyal Customers",AND(P263&gt;=7,P263&lt;10),"Potential Customers",AND(P263&gt;=4,P263&lt;7),"Need Attention",P263&lt;4,"At Risk")</f>
        <v>Potential Customers</v>
      </c>
    </row>
    <row r="264" spans="1:17" x14ac:dyDescent="0.35">
      <c r="A264" t="s">
        <v>449</v>
      </c>
      <c r="B264" t="s">
        <v>450</v>
      </c>
      <c r="C264" s="1">
        <v>45655.343007002317</v>
      </c>
      <c r="D264" t="s">
        <v>16</v>
      </c>
      <c r="E264">
        <v>10.37</v>
      </c>
      <c r="I264" s="17" t="s">
        <v>562</v>
      </c>
      <c r="J264" s="18">
        <v>318.65699074073927</v>
      </c>
      <c r="K264" s="17">
        <v>2</v>
      </c>
      <c r="L264" s="17">
        <v>27.740000000000002</v>
      </c>
      <c r="M264" s="17" cm="1">
        <f t="array" ref="M264">_xlfn.IFS(AND(J264&gt;=65,J264&lt;=141),5,AND(J264&gt;141,J264&lt;=213),4,AND(J264&gt;213,J264&lt;=285),3,AND(J264&gt;285,J264&lt;=357),2,AND(J264&gt;357,J264&lt;=430),1)</f>
        <v>2</v>
      </c>
      <c r="N264" s="17" cm="1">
        <f t="array" ref="N264">_xlfn.IFS(AND(K264&gt;=1,K264&lt;=2),1,AND(K264&gt;=3,K264&lt;=4),2,AND(K264&gt;=5,K264&lt;=6),3,AND(K264&gt;=6,K264&lt;=9),4,AND(K264&gt;=10,K264&lt;=12),5)</f>
        <v>1</v>
      </c>
      <c r="O264" s="17" cm="1">
        <f t="array" ref="O264">_xlfn.IFS(AND(L264&gt;=4.1,L264&lt;=41.49),1,AND(L264&gt;=41.5,L264&lt;=78.86),2,AND(L264&gt;=78.87,L264&lt;=116.23),3,AND(L264&gt;=116.24,L264&lt;=153.6),4,AND(L264&gt;=153.61,L264&lt;=190.97),5)</f>
        <v>1</v>
      </c>
      <c r="P264" s="17">
        <f t="shared" si="4"/>
        <v>4</v>
      </c>
      <c r="Q264" s="17" t="str" cm="1">
        <f t="array" ref="Q264">_xlfn.IFS(P264&gt;=14,"Best Customers",AND(P264&gt;=10,P264&lt;14),"Loyal Customers",AND(P264&gt;=7,P264&lt;10),"Potential Customers",AND(P264&gt;=4,P264&lt;7),"Need Attention",P264&lt;4,"At Risk")</f>
        <v>Need Attention</v>
      </c>
    </row>
    <row r="265" spans="1:17" x14ac:dyDescent="0.35">
      <c r="A265" t="s">
        <v>451</v>
      </c>
      <c r="B265" t="s">
        <v>452</v>
      </c>
      <c r="C265" s="1">
        <v>45597.343007002317</v>
      </c>
      <c r="D265" t="s">
        <v>7</v>
      </c>
      <c r="E265">
        <v>44.91</v>
      </c>
      <c r="I265" s="17" t="s">
        <v>1082</v>
      </c>
      <c r="J265" s="18">
        <v>283.65699074073927</v>
      </c>
      <c r="K265" s="17">
        <v>2</v>
      </c>
      <c r="L265" s="17">
        <v>48.74</v>
      </c>
      <c r="M265" s="17" cm="1">
        <f t="array" ref="M265">_xlfn.IFS(AND(J265&gt;=65,J265&lt;=141),5,AND(J265&gt;141,J265&lt;=213),4,AND(J265&gt;213,J265&lt;=285),3,AND(J265&gt;285,J265&lt;=357),2,AND(J265&gt;357,J265&lt;=430),1)</f>
        <v>3</v>
      </c>
      <c r="N265" s="17" cm="1">
        <f t="array" ref="N265">_xlfn.IFS(AND(K265&gt;=1,K265&lt;=2),1,AND(K265&gt;=3,K265&lt;=4),2,AND(K265&gt;=5,K265&lt;=6),3,AND(K265&gt;=6,K265&lt;=9),4,AND(K265&gt;=10,K265&lt;=12),5)</f>
        <v>1</v>
      </c>
      <c r="O265" s="17" cm="1">
        <f t="array" ref="O265">_xlfn.IFS(AND(L265&gt;=4.1,L265&lt;=41.49),1,AND(L265&gt;=41.5,L265&lt;=78.86),2,AND(L265&gt;=78.87,L265&lt;=116.23),3,AND(L265&gt;=116.24,L265&lt;=153.6),4,AND(L265&gt;=153.61,L265&lt;=190.97),5)</f>
        <v>2</v>
      </c>
      <c r="P265" s="17">
        <f t="shared" si="4"/>
        <v>6</v>
      </c>
      <c r="Q265" s="17" t="str" cm="1">
        <f t="array" ref="Q265">_xlfn.IFS(P265&gt;=14,"Best Customers",AND(P265&gt;=10,P265&lt;14),"Loyal Customers",AND(P265&gt;=7,P265&lt;10),"Potential Customers",AND(P265&gt;=4,P265&lt;7),"Need Attention",P265&lt;4,"At Risk")</f>
        <v>Need Attention</v>
      </c>
    </row>
    <row r="266" spans="1:17" x14ac:dyDescent="0.35">
      <c r="A266" t="s">
        <v>453</v>
      </c>
      <c r="B266" t="s">
        <v>454</v>
      </c>
      <c r="C266" s="1">
        <v>45899.343007002317</v>
      </c>
      <c r="D266" t="s">
        <v>7</v>
      </c>
      <c r="E266">
        <v>39.619999999999997</v>
      </c>
      <c r="I266" s="17" t="s">
        <v>922</v>
      </c>
      <c r="J266" s="18">
        <v>206.65699074073927</v>
      </c>
      <c r="K266" s="17">
        <v>3</v>
      </c>
      <c r="L266" s="17">
        <v>34.480000000000004</v>
      </c>
      <c r="M266" s="17" cm="1">
        <f t="array" ref="M266">_xlfn.IFS(AND(J266&gt;=65,J266&lt;=141),5,AND(J266&gt;141,J266&lt;=213),4,AND(J266&gt;213,J266&lt;=285),3,AND(J266&gt;285,J266&lt;=357),2,AND(J266&gt;357,J266&lt;=430),1)</f>
        <v>4</v>
      </c>
      <c r="N266" s="17" cm="1">
        <f t="array" ref="N266">_xlfn.IFS(AND(K266&gt;=1,K266&lt;=2),1,AND(K266&gt;=3,K266&lt;=4),2,AND(K266&gt;=5,K266&lt;=6),3,AND(K266&gt;=6,K266&lt;=9),4,AND(K266&gt;=10,K266&lt;=12),5)</f>
        <v>2</v>
      </c>
      <c r="O266" s="17" cm="1">
        <f t="array" ref="O266">_xlfn.IFS(AND(L266&gt;=4.1,L266&lt;=41.49),1,AND(L266&gt;=41.5,L266&lt;=78.86),2,AND(L266&gt;=78.87,L266&lt;=116.23),3,AND(L266&gt;=116.24,L266&lt;=153.6),4,AND(L266&gt;=153.61,L266&lt;=190.97),5)</f>
        <v>1</v>
      </c>
      <c r="P266" s="17">
        <f t="shared" si="4"/>
        <v>7</v>
      </c>
      <c r="Q266" s="17" t="str" cm="1">
        <f t="array" ref="Q266">_xlfn.IFS(P266&gt;=14,"Best Customers",AND(P266&gt;=10,P266&lt;14),"Loyal Customers",AND(P266&gt;=7,P266&lt;10),"Potential Customers",AND(P266&gt;=4,P266&lt;7),"Need Attention",P266&lt;4,"At Risk")</f>
        <v>Potential Customers</v>
      </c>
    </row>
    <row r="267" spans="1:17" x14ac:dyDescent="0.35">
      <c r="A267" t="s">
        <v>455</v>
      </c>
      <c r="B267" t="s">
        <v>250</v>
      </c>
      <c r="C267" s="1">
        <v>45849.343007002317</v>
      </c>
      <c r="D267" t="s">
        <v>16</v>
      </c>
      <c r="E267">
        <v>11.98</v>
      </c>
      <c r="I267" s="17" t="s">
        <v>450</v>
      </c>
      <c r="J267" s="18">
        <v>155.65699074073927</v>
      </c>
      <c r="K267" s="17">
        <v>2</v>
      </c>
      <c r="L267" s="17">
        <v>27.89</v>
      </c>
      <c r="M267" s="17" cm="1">
        <f t="array" ref="M267">_xlfn.IFS(AND(J267&gt;=65,J267&lt;=141),5,AND(J267&gt;141,J267&lt;=213),4,AND(J267&gt;213,J267&lt;=285),3,AND(J267&gt;285,J267&lt;=357),2,AND(J267&gt;357,J267&lt;=430),1)</f>
        <v>4</v>
      </c>
      <c r="N267" s="17" cm="1">
        <f t="array" ref="N267">_xlfn.IFS(AND(K267&gt;=1,K267&lt;=2),1,AND(K267&gt;=3,K267&lt;=4),2,AND(K267&gt;=5,K267&lt;=6),3,AND(K267&gt;=6,K267&lt;=9),4,AND(K267&gt;=10,K267&lt;=12),5)</f>
        <v>1</v>
      </c>
      <c r="O267" s="17" cm="1">
        <f t="array" ref="O267">_xlfn.IFS(AND(L267&gt;=4.1,L267&lt;=41.49),1,AND(L267&gt;=41.5,L267&lt;=78.86),2,AND(L267&gt;=78.87,L267&lt;=116.23),3,AND(L267&gt;=116.24,L267&lt;=153.6),4,AND(L267&gt;=153.61,L267&lt;=190.97),5)</f>
        <v>1</v>
      </c>
      <c r="P267" s="17">
        <f t="shared" si="4"/>
        <v>6</v>
      </c>
      <c r="Q267" s="17" t="str" cm="1">
        <f t="array" ref="Q267">_xlfn.IFS(P267&gt;=14,"Best Customers",AND(P267&gt;=10,P267&lt;14),"Loyal Customers",AND(P267&gt;=7,P267&lt;10),"Potential Customers",AND(P267&gt;=4,P267&lt;7),"Need Attention",P267&lt;4,"At Risk")</f>
        <v>Need Attention</v>
      </c>
    </row>
    <row r="268" spans="1:17" x14ac:dyDescent="0.35">
      <c r="A268" t="s">
        <v>456</v>
      </c>
      <c r="B268" t="s">
        <v>225</v>
      </c>
      <c r="C268" s="1">
        <v>45735.343007002317</v>
      </c>
      <c r="D268" t="s">
        <v>10</v>
      </c>
      <c r="E268">
        <v>12.36</v>
      </c>
      <c r="I268" s="17" t="s">
        <v>1180</v>
      </c>
      <c r="J268" s="18">
        <v>406.65699074073927</v>
      </c>
      <c r="K268" s="17">
        <v>1</v>
      </c>
      <c r="L268" s="17">
        <v>5.19</v>
      </c>
      <c r="M268" s="17" cm="1">
        <f t="array" ref="M268">_xlfn.IFS(AND(J268&gt;=65,J268&lt;=141),5,AND(J268&gt;141,J268&lt;=213),4,AND(J268&gt;213,J268&lt;=285),3,AND(J268&gt;285,J268&lt;=357),2,AND(J268&gt;357,J268&lt;=430),1)</f>
        <v>1</v>
      </c>
      <c r="N268" s="17" cm="1">
        <f t="array" ref="N268">_xlfn.IFS(AND(K268&gt;=1,K268&lt;=2),1,AND(K268&gt;=3,K268&lt;=4),2,AND(K268&gt;=5,K268&lt;=6),3,AND(K268&gt;=6,K268&lt;=9),4,AND(K268&gt;=10,K268&lt;=12),5)</f>
        <v>1</v>
      </c>
      <c r="O268" s="17" cm="1">
        <f t="array" ref="O268">_xlfn.IFS(AND(L268&gt;=4.1,L268&lt;=41.49),1,AND(L268&gt;=41.5,L268&lt;=78.86),2,AND(L268&gt;=78.87,L268&lt;=116.23),3,AND(L268&gt;=116.24,L268&lt;=153.6),4,AND(L268&gt;=153.61,L268&lt;=190.97),5)</f>
        <v>1</v>
      </c>
      <c r="P268" s="17">
        <f t="shared" si="4"/>
        <v>3</v>
      </c>
      <c r="Q268" s="17" t="str" cm="1">
        <f t="array" ref="Q268">_xlfn.IFS(P268&gt;=14,"Best Customers",AND(P268&gt;=10,P268&lt;14),"Loyal Customers",AND(P268&gt;=7,P268&lt;10),"Potential Customers",AND(P268&gt;=4,P268&lt;7),"Need Attention",P268&lt;4,"At Risk")</f>
        <v>At Risk</v>
      </c>
    </row>
    <row r="269" spans="1:17" x14ac:dyDescent="0.35">
      <c r="A269" t="s">
        <v>457</v>
      </c>
      <c r="B269" t="s">
        <v>458</v>
      </c>
      <c r="C269" s="1">
        <v>45632.343007002317</v>
      </c>
      <c r="D269" t="s">
        <v>16</v>
      </c>
      <c r="E269">
        <v>8.01</v>
      </c>
      <c r="I269" s="17" t="s">
        <v>422</v>
      </c>
      <c r="J269" s="18">
        <v>264.65699074073927</v>
      </c>
      <c r="K269" s="17">
        <v>2</v>
      </c>
      <c r="L269" s="17">
        <v>11.09</v>
      </c>
      <c r="M269" s="17" cm="1">
        <f t="array" ref="M269">_xlfn.IFS(AND(J269&gt;=65,J269&lt;=141),5,AND(J269&gt;141,J269&lt;=213),4,AND(J269&gt;213,J269&lt;=285),3,AND(J269&gt;285,J269&lt;=357),2,AND(J269&gt;357,J269&lt;=430),1)</f>
        <v>3</v>
      </c>
      <c r="N269" s="17" cm="1">
        <f t="array" ref="N269">_xlfn.IFS(AND(K269&gt;=1,K269&lt;=2),1,AND(K269&gt;=3,K269&lt;=4),2,AND(K269&gt;=5,K269&lt;=6),3,AND(K269&gt;=6,K269&lt;=9),4,AND(K269&gt;=10,K269&lt;=12),5)</f>
        <v>1</v>
      </c>
      <c r="O269" s="17" cm="1">
        <f t="array" ref="O269">_xlfn.IFS(AND(L269&gt;=4.1,L269&lt;=41.49),1,AND(L269&gt;=41.5,L269&lt;=78.86),2,AND(L269&gt;=78.87,L269&lt;=116.23),3,AND(L269&gt;=116.24,L269&lt;=153.6),4,AND(L269&gt;=153.61,L269&lt;=190.97),5)</f>
        <v>1</v>
      </c>
      <c r="P269" s="17">
        <f t="shared" si="4"/>
        <v>5</v>
      </c>
      <c r="Q269" s="17" t="str" cm="1">
        <f t="array" ref="Q269">_xlfn.IFS(P269&gt;=14,"Best Customers",AND(P269&gt;=10,P269&lt;14),"Loyal Customers",AND(P269&gt;=7,P269&lt;10),"Potential Customers",AND(P269&gt;=4,P269&lt;7),"Need Attention",P269&lt;4,"At Risk")</f>
        <v>Need Attention</v>
      </c>
    </row>
    <row r="270" spans="1:17" x14ac:dyDescent="0.35">
      <c r="A270" t="s">
        <v>459</v>
      </c>
      <c r="B270" t="s">
        <v>460</v>
      </c>
      <c r="C270" s="1">
        <v>45755.343007002317</v>
      </c>
      <c r="D270" t="s">
        <v>16</v>
      </c>
      <c r="E270">
        <v>10.56</v>
      </c>
      <c r="I270" s="17" t="s">
        <v>444</v>
      </c>
      <c r="J270" s="18">
        <v>266.65699074073927</v>
      </c>
      <c r="K270" s="17">
        <v>3</v>
      </c>
      <c r="L270" s="17">
        <v>47.22</v>
      </c>
      <c r="M270" s="17" cm="1">
        <f t="array" ref="M270">_xlfn.IFS(AND(J270&gt;=65,J270&lt;=141),5,AND(J270&gt;141,J270&lt;=213),4,AND(J270&gt;213,J270&lt;=285),3,AND(J270&gt;285,J270&lt;=357),2,AND(J270&gt;357,J270&lt;=430),1)</f>
        <v>3</v>
      </c>
      <c r="N270" s="17" cm="1">
        <f t="array" ref="N270">_xlfn.IFS(AND(K270&gt;=1,K270&lt;=2),1,AND(K270&gt;=3,K270&lt;=4),2,AND(K270&gt;=5,K270&lt;=6),3,AND(K270&gt;=6,K270&lt;=9),4,AND(K270&gt;=10,K270&lt;=12),5)</f>
        <v>2</v>
      </c>
      <c r="O270" s="17" cm="1">
        <f t="array" ref="O270">_xlfn.IFS(AND(L270&gt;=4.1,L270&lt;=41.49),1,AND(L270&gt;=41.5,L270&lt;=78.86),2,AND(L270&gt;=78.87,L270&lt;=116.23),3,AND(L270&gt;=116.24,L270&lt;=153.6),4,AND(L270&gt;=153.61,L270&lt;=190.97),5)</f>
        <v>2</v>
      </c>
      <c r="P270" s="17">
        <f t="shared" si="4"/>
        <v>7</v>
      </c>
      <c r="Q270" s="17" t="str" cm="1">
        <f t="array" ref="Q270">_xlfn.IFS(P270&gt;=14,"Best Customers",AND(P270&gt;=10,P270&lt;14),"Loyal Customers",AND(P270&gt;=7,P270&lt;10),"Potential Customers",AND(P270&gt;=4,P270&lt;7),"Need Attention",P270&lt;4,"At Risk")</f>
        <v>Potential Customers</v>
      </c>
    </row>
    <row r="271" spans="1:17" x14ac:dyDescent="0.35">
      <c r="A271" t="s">
        <v>461</v>
      </c>
      <c r="B271" t="s">
        <v>303</v>
      </c>
      <c r="C271" s="1">
        <v>45604.343007002317</v>
      </c>
      <c r="D271" t="s">
        <v>7</v>
      </c>
      <c r="E271">
        <v>36.770000000000003</v>
      </c>
      <c r="I271" s="17" t="s">
        <v>183</v>
      </c>
      <c r="J271" s="18">
        <v>94.656990740739275</v>
      </c>
      <c r="K271" s="17">
        <v>6</v>
      </c>
      <c r="L271" s="17">
        <v>70.48</v>
      </c>
      <c r="M271" s="17" cm="1">
        <f t="array" ref="M271">_xlfn.IFS(AND(J271&gt;=65,J271&lt;=141),5,AND(J271&gt;141,J271&lt;=213),4,AND(J271&gt;213,J271&lt;=285),3,AND(J271&gt;285,J271&lt;=357),2,AND(J271&gt;357,J271&lt;=430),1)</f>
        <v>5</v>
      </c>
      <c r="N271" s="17" cm="1">
        <f t="array" ref="N271">_xlfn.IFS(AND(K271&gt;=1,K271&lt;=2),1,AND(K271&gt;=3,K271&lt;=4),2,AND(K271&gt;=5,K271&lt;=6),3,AND(K271&gt;=6,K271&lt;=9),4,AND(K271&gt;=10,K271&lt;=12),5)</f>
        <v>3</v>
      </c>
      <c r="O271" s="17" cm="1">
        <f t="array" ref="O271">_xlfn.IFS(AND(L271&gt;=4.1,L271&lt;=41.49),1,AND(L271&gt;=41.5,L271&lt;=78.86),2,AND(L271&gt;=78.87,L271&lt;=116.23),3,AND(L271&gt;=116.24,L271&lt;=153.6),4,AND(L271&gt;=153.61,L271&lt;=190.97),5)</f>
        <v>2</v>
      </c>
      <c r="P271" s="17">
        <f t="shared" si="4"/>
        <v>10</v>
      </c>
      <c r="Q271" s="17" t="str" cm="1">
        <f t="array" ref="Q271">_xlfn.IFS(P271&gt;=14,"Best Customers",AND(P271&gt;=10,P271&lt;14),"Loyal Customers",AND(P271&gt;=7,P271&lt;10),"Potential Customers",AND(P271&gt;=4,P271&lt;7),"Need Attention",P271&lt;4,"At Risk")</f>
        <v>Loyal Customers</v>
      </c>
    </row>
    <row r="272" spans="1:17" x14ac:dyDescent="0.35">
      <c r="A272" t="s">
        <v>462</v>
      </c>
      <c r="B272" t="s">
        <v>213</v>
      </c>
      <c r="C272" s="1">
        <v>45828.343007002317</v>
      </c>
      <c r="D272" t="s">
        <v>7</v>
      </c>
      <c r="E272">
        <v>35.85</v>
      </c>
      <c r="I272" s="17" t="s">
        <v>187</v>
      </c>
      <c r="J272" s="18">
        <v>107.65699074073927</v>
      </c>
      <c r="K272" s="17">
        <v>1</v>
      </c>
      <c r="L272" s="17">
        <v>5.6</v>
      </c>
      <c r="M272" s="17" cm="1">
        <f t="array" ref="M272">_xlfn.IFS(AND(J272&gt;=65,J272&lt;=141),5,AND(J272&gt;141,J272&lt;=213),4,AND(J272&gt;213,J272&lt;=285),3,AND(J272&gt;285,J272&lt;=357),2,AND(J272&gt;357,J272&lt;=430),1)</f>
        <v>5</v>
      </c>
      <c r="N272" s="17" cm="1">
        <f t="array" ref="N272">_xlfn.IFS(AND(K272&gt;=1,K272&lt;=2),1,AND(K272&gt;=3,K272&lt;=4),2,AND(K272&gt;=5,K272&lt;=6),3,AND(K272&gt;=6,K272&lt;=9),4,AND(K272&gt;=10,K272&lt;=12),5)</f>
        <v>1</v>
      </c>
      <c r="O272" s="17" cm="1">
        <f t="array" ref="O272">_xlfn.IFS(AND(L272&gt;=4.1,L272&lt;=41.49),1,AND(L272&gt;=41.5,L272&lt;=78.86),2,AND(L272&gt;=78.87,L272&lt;=116.23),3,AND(L272&gt;=116.24,L272&lt;=153.6),4,AND(L272&gt;=153.61,L272&lt;=190.97),5)</f>
        <v>1</v>
      </c>
      <c r="P272" s="17">
        <f t="shared" si="4"/>
        <v>7</v>
      </c>
      <c r="Q272" s="17" t="str" cm="1">
        <f t="array" ref="Q272">_xlfn.IFS(P272&gt;=14,"Best Customers",AND(P272&gt;=10,P272&lt;14),"Loyal Customers",AND(P272&gt;=7,P272&lt;10),"Potential Customers",AND(P272&gt;=4,P272&lt;7),"Need Attention",P272&lt;4,"At Risk")</f>
        <v>Potential Customers</v>
      </c>
    </row>
    <row r="273" spans="1:17" x14ac:dyDescent="0.35">
      <c r="A273" t="s">
        <v>463</v>
      </c>
      <c r="B273" t="s">
        <v>260</v>
      </c>
      <c r="C273" s="1">
        <v>45694.343007002317</v>
      </c>
      <c r="D273" t="s">
        <v>16</v>
      </c>
      <c r="E273">
        <v>9.25</v>
      </c>
      <c r="I273" s="17" t="s">
        <v>745</v>
      </c>
      <c r="J273" s="18">
        <v>126.65699074073927</v>
      </c>
      <c r="K273" s="17">
        <v>2</v>
      </c>
      <c r="L273" s="17">
        <v>71.95</v>
      </c>
      <c r="M273" s="17" cm="1">
        <f t="array" ref="M273">_xlfn.IFS(AND(J273&gt;=65,J273&lt;=141),5,AND(J273&gt;141,J273&lt;=213),4,AND(J273&gt;213,J273&lt;=285),3,AND(J273&gt;285,J273&lt;=357),2,AND(J273&gt;357,J273&lt;=430),1)</f>
        <v>5</v>
      </c>
      <c r="N273" s="17" cm="1">
        <f t="array" ref="N273">_xlfn.IFS(AND(K273&gt;=1,K273&lt;=2),1,AND(K273&gt;=3,K273&lt;=4),2,AND(K273&gt;=5,K273&lt;=6),3,AND(K273&gt;=6,K273&lt;=9),4,AND(K273&gt;=10,K273&lt;=12),5)</f>
        <v>1</v>
      </c>
      <c r="O273" s="17" cm="1">
        <f t="array" ref="O273">_xlfn.IFS(AND(L273&gt;=4.1,L273&lt;=41.49),1,AND(L273&gt;=41.5,L273&lt;=78.86),2,AND(L273&gt;=78.87,L273&lt;=116.23),3,AND(L273&gt;=116.24,L273&lt;=153.6),4,AND(L273&gt;=153.61,L273&lt;=190.97),5)</f>
        <v>2</v>
      </c>
      <c r="P273" s="17">
        <f t="shared" si="4"/>
        <v>8</v>
      </c>
      <c r="Q273" s="17" t="str" cm="1">
        <f t="array" ref="Q273">_xlfn.IFS(P273&gt;=14,"Best Customers",AND(P273&gt;=10,P273&lt;14),"Loyal Customers",AND(P273&gt;=7,P273&lt;10),"Potential Customers",AND(P273&gt;=4,P273&lt;7),"Need Attention",P273&lt;4,"At Risk")</f>
        <v>Potential Customers</v>
      </c>
    </row>
    <row r="274" spans="1:17" x14ac:dyDescent="0.35">
      <c r="A274" t="s">
        <v>464</v>
      </c>
      <c r="B274" t="s">
        <v>465</v>
      </c>
      <c r="C274" s="1">
        <v>45742.343007002317</v>
      </c>
      <c r="D274" t="s">
        <v>16</v>
      </c>
      <c r="E274">
        <v>9.02</v>
      </c>
      <c r="I274" s="17" t="s">
        <v>281</v>
      </c>
      <c r="J274" s="18">
        <v>154.65699074073927</v>
      </c>
      <c r="K274" s="17">
        <v>8</v>
      </c>
      <c r="L274" s="17">
        <v>143.59</v>
      </c>
      <c r="M274" s="17" cm="1">
        <f t="array" ref="M274">_xlfn.IFS(AND(J274&gt;=65,J274&lt;=141),5,AND(J274&gt;141,J274&lt;=213),4,AND(J274&gt;213,J274&lt;=285),3,AND(J274&gt;285,J274&lt;=357),2,AND(J274&gt;357,J274&lt;=430),1)</f>
        <v>4</v>
      </c>
      <c r="N274" s="17" cm="1">
        <f t="array" ref="N274">_xlfn.IFS(AND(K274&gt;=1,K274&lt;=2),1,AND(K274&gt;=3,K274&lt;=4),2,AND(K274&gt;=5,K274&lt;=6),3,AND(K274&gt;=6,K274&lt;=9),4,AND(K274&gt;=10,K274&lt;=12),5)</f>
        <v>4</v>
      </c>
      <c r="O274" s="17" cm="1">
        <f t="array" ref="O274">_xlfn.IFS(AND(L274&gt;=4.1,L274&lt;=41.49),1,AND(L274&gt;=41.5,L274&lt;=78.86),2,AND(L274&gt;=78.87,L274&lt;=116.23),3,AND(L274&gt;=116.24,L274&lt;=153.6),4,AND(L274&gt;=153.61,L274&lt;=190.97),5)</f>
        <v>4</v>
      </c>
      <c r="P274" s="17">
        <f t="shared" si="4"/>
        <v>12</v>
      </c>
      <c r="Q274" s="17" t="str" cm="1">
        <f t="array" ref="Q274">_xlfn.IFS(P274&gt;=14,"Best Customers",AND(P274&gt;=10,P274&lt;14),"Loyal Customers",AND(P274&gt;=7,P274&lt;10),"Potential Customers",AND(P274&gt;=4,P274&lt;7),"Need Attention",P274&lt;4,"At Risk")</f>
        <v>Loyal Customers</v>
      </c>
    </row>
    <row r="275" spans="1:17" x14ac:dyDescent="0.35">
      <c r="A275" t="s">
        <v>466</v>
      </c>
      <c r="B275" t="s">
        <v>266</v>
      </c>
      <c r="C275" s="1">
        <v>45899.343007002317</v>
      </c>
      <c r="D275" t="s">
        <v>16</v>
      </c>
      <c r="E275">
        <v>8.1199999999999992</v>
      </c>
      <c r="I275" s="17" t="s">
        <v>68</v>
      </c>
      <c r="J275" s="18">
        <v>89.656990740739275</v>
      </c>
      <c r="K275" s="17">
        <v>2</v>
      </c>
      <c r="L275" s="17">
        <v>15.41</v>
      </c>
      <c r="M275" s="17" cm="1">
        <f t="array" ref="M275">_xlfn.IFS(AND(J275&gt;=65,J275&lt;=141),5,AND(J275&gt;141,J275&lt;=213),4,AND(J275&gt;213,J275&lt;=285),3,AND(J275&gt;285,J275&lt;=357),2,AND(J275&gt;357,J275&lt;=430),1)</f>
        <v>5</v>
      </c>
      <c r="N275" s="17" cm="1">
        <f t="array" ref="N275">_xlfn.IFS(AND(K275&gt;=1,K275&lt;=2),1,AND(K275&gt;=3,K275&lt;=4),2,AND(K275&gt;=5,K275&lt;=6),3,AND(K275&gt;=6,K275&lt;=9),4,AND(K275&gt;=10,K275&lt;=12),5)</f>
        <v>1</v>
      </c>
      <c r="O275" s="17" cm="1">
        <f t="array" ref="O275">_xlfn.IFS(AND(L275&gt;=4.1,L275&lt;=41.49),1,AND(L275&gt;=41.5,L275&lt;=78.86),2,AND(L275&gt;=78.87,L275&lt;=116.23),3,AND(L275&gt;=116.24,L275&lt;=153.6),4,AND(L275&gt;=153.61,L275&lt;=190.97),5)</f>
        <v>1</v>
      </c>
      <c r="P275" s="17">
        <f t="shared" si="4"/>
        <v>7</v>
      </c>
      <c r="Q275" s="17" t="str" cm="1">
        <f t="array" ref="Q275">_xlfn.IFS(P275&gt;=14,"Best Customers",AND(P275&gt;=10,P275&lt;14),"Loyal Customers",AND(P275&gt;=7,P275&lt;10),"Potential Customers",AND(P275&gt;=4,P275&lt;7),"Need Attention",P275&lt;4,"At Risk")</f>
        <v>Potential Customers</v>
      </c>
    </row>
    <row r="276" spans="1:17" x14ac:dyDescent="0.35">
      <c r="A276" t="s">
        <v>467</v>
      </c>
      <c r="B276" t="s">
        <v>88</v>
      </c>
      <c r="C276" s="1">
        <v>45803.343007002317</v>
      </c>
      <c r="D276" t="s">
        <v>7</v>
      </c>
      <c r="E276">
        <v>47.54</v>
      </c>
      <c r="I276" s="17" t="s">
        <v>221</v>
      </c>
      <c r="J276" s="18">
        <v>94.656990740739275</v>
      </c>
      <c r="K276" s="17">
        <v>4</v>
      </c>
      <c r="L276" s="17">
        <v>40.15</v>
      </c>
      <c r="M276" s="17" cm="1">
        <f t="array" ref="M276">_xlfn.IFS(AND(J276&gt;=65,J276&lt;=141),5,AND(J276&gt;141,J276&lt;=213),4,AND(J276&gt;213,J276&lt;=285),3,AND(J276&gt;285,J276&lt;=357),2,AND(J276&gt;357,J276&lt;=430),1)</f>
        <v>5</v>
      </c>
      <c r="N276" s="17" cm="1">
        <f t="array" ref="N276">_xlfn.IFS(AND(K276&gt;=1,K276&lt;=2),1,AND(K276&gt;=3,K276&lt;=4),2,AND(K276&gt;=5,K276&lt;=6),3,AND(K276&gt;=6,K276&lt;=9),4,AND(K276&gt;=10,K276&lt;=12),5)</f>
        <v>2</v>
      </c>
      <c r="O276" s="17" cm="1">
        <f t="array" ref="O276">_xlfn.IFS(AND(L276&gt;=4.1,L276&lt;=41.49),1,AND(L276&gt;=41.5,L276&lt;=78.86),2,AND(L276&gt;=78.87,L276&lt;=116.23),3,AND(L276&gt;=116.24,L276&lt;=153.6),4,AND(L276&gt;=153.61,L276&lt;=190.97),5)</f>
        <v>1</v>
      </c>
      <c r="P276" s="17">
        <f t="shared" si="4"/>
        <v>8</v>
      </c>
      <c r="Q276" s="17" t="str" cm="1">
        <f t="array" ref="Q276">_xlfn.IFS(P276&gt;=14,"Best Customers",AND(P276&gt;=10,P276&lt;14),"Loyal Customers",AND(P276&gt;=7,P276&lt;10),"Potential Customers",AND(P276&gt;=4,P276&lt;7),"Need Attention",P276&lt;4,"At Risk")</f>
        <v>Potential Customers</v>
      </c>
    </row>
    <row r="277" spans="1:17" x14ac:dyDescent="0.35">
      <c r="A277" t="s">
        <v>468</v>
      </c>
      <c r="B277" t="s">
        <v>469</v>
      </c>
      <c r="C277" s="1">
        <v>45726.343007002317</v>
      </c>
      <c r="D277" t="s">
        <v>16</v>
      </c>
      <c r="E277">
        <v>8.8800000000000008</v>
      </c>
      <c r="I277" s="17" t="s">
        <v>98</v>
      </c>
      <c r="J277" s="18">
        <v>116.65699074073927</v>
      </c>
      <c r="K277" s="17">
        <v>7</v>
      </c>
      <c r="L277" s="17">
        <v>88.53</v>
      </c>
      <c r="M277" s="17" cm="1">
        <f t="array" ref="M277">_xlfn.IFS(AND(J277&gt;=65,J277&lt;=141),5,AND(J277&gt;141,J277&lt;=213),4,AND(J277&gt;213,J277&lt;=285),3,AND(J277&gt;285,J277&lt;=357),2,AND(J277&gt;357,J277&lt;=430),1)</f>
        <v>5</v>
      </c>
      <c r="N277" s="17" cm="1">
        <f t="array" ref="N277">_xlfn.IFS(AND(K277&gt;=1,K277&lt;=2),1,AND(K277&gt;=3,K277&lt;=4),2,AND(K277&gt;=5,K277&lt;=6),3,AND(K277&gt;=6,K277&lt;=9),4,AND(K277&gt;=10,K277&lt;=12),5)</f>
        <v>4</v>
      </c>
      <c r="O277" s="17" cm="1">
        <f t="array" ref="O277">_xlfn.IFS(AND(L277&gt;=4.1,L277&lt;=41.49),1,AND(L277&gt;=41.5,L277&lt;=78.86),2,AND(L277&gt;=78.87,L277&lt;=116.23),3,AND(L277&gt;=116.24,L277&lt;=153.6),4,AND(L277&gt;=153.61,L277&lt;=190.97),5)</f>
        <v>3</v>
      </c>
      <c r="P277" s="17">
        <f t="shared" si="4"/>
        <v>12</v>
      </c>
      <c r="Q277" s="17" t="str" cm="1">
        <f t="array" ref="Q277">_xlfn.IFS(P277&gt;=14,"Best Customers",AND(P277&gt;=10,P277&lt;14),"Loyal Customers",AND(P277&gt;=7,P277&lt;10),"Potential Customers",AND(P277&gt;=4,P277&lt;7),"Need Attention",P277&lt;4,"At Risk")</f>
        <v>Loyal Customers</v>
      </c>
    </row>
    <row r="278" spans="1:17" x14ac:dyDescent="0.35">
      <c r="A278" t="s">
        <v>470</v>
      </c>
      <c r="B278" t="s">
        <v>471</v>
      </c>
      <c r="C278" s="1">
        <v>45747.343007002317</v>
      </c>
      <c r="D278" t="s">
        <v>16</v>
      </c>
      <c r="E278">
        <v>10.94</v>
      </c>
      <c r="I278" s="17" t="s">
        <v>134</v>
      </c>
      <c r="J278" s="18">
        <v>152.65699074073927</v>
      </c>
      <c r="K278" s="17">
        <v>7</v>
      </c>
      <c r="L278" s="17">
        <v>121.16999999999999</v>
      </c>
      <c r="M278" s="17" cm="1">
        <f t="array" ref="M278">_xlfn.IFS(AND(J278&gt;=65,J278&lt;=141),5,AND(J278&gt;141,J278&lt;=213),4,AND(J278&gt;213,J278&lt;=285),3,AND(J278&gt;285,J278&lt;=357),2,AND(J278&gt;357,J278&lt;=430),1)</f>
        <v>4</v>
      </c>
      <c r="N278" s="17" cm="1">
        <f t="array" ref="N278">_xlfn.IFS(AND(K278&gt;=1,K278&lt;=2),1,AND(K278&gt;=3,K278&lt;=4),2,AND(K278&gt;=5,K278&lt;=6),3,AND(K278&gt;=6,K278&lt;=9),4,AND(K278&gt;=10,K278&lt;=12),5)</f>
        <v>4</v>
      </c>
      <c r="O278" s="17" cm="1">
        <f t="array" ref="O278">_xlfn.IFS(AND(L278&gt;=4.1,L278&lt;=41.49),1,AND(L278&gt;=41.5,L278&lt;=78.86),2,AND(L278&gt;=78.87,L278&lt;=116.23),3,AND(L278&gt;=116.24,L278&lt;=153.6),4,AND(L278&gt;=153.61,L278&lt;=190.97),5)</f>
        <v>4</v>
      </c>
      <c r="P278" s="17">
        <f t="shared" si="4"/>
        <v>12</v>
      </c>
      <c r="Q278" s="17" t="str" cm="1">
        <f t="array" ref="Q278">_xlfn.IFS(P278&gt;=14,"Best Customers",AND(P278&gt;=10,P278&lt;14),"Loyal Customers",AND(P278&gt;=7,P278&lt;10),"Potential Customers",AND(P278&gt;=4,P278&lt;7),"Need Attention",P278&lt;4,"At Risk")</f>
        <v>Loyal Customers</v>
      </c>
    </row>
    <row r="279" spans="1:17" x14ac:dyDescent="0.35">
      <c r="A279" t="s">
        <v>472</v>
      </c>
      <c r="B279" t="s">
        <v>264</v>
      </c>
      <c r="C279" s="1">
        <v>45649.343007002317</v>
      </c>
      <c r="D279" t="s">
        <v>50</v>
      </c>
      <c r="E279">
        <v>5.53</v>
      </c>
      <c r="I279" s="17" t="s">
        <v>1142</v>
      </c>
      <c r="J279" s="18">
        <v>301.65699074073927</v>
      </c>
      <c r="K279" s="17">
        <v>2</v>
      </c>
      <c r="L279" s="17">
        <v>69.789999999999992</v>
      </c>
      <c r="M279" s="17" cm="1">
        <f t="array" ref="M279">_xlfn.IFS(AND(J279&gt;=65,J279&lt;=141),5,AND(J279&gt;141,J279&lt;=213),4,AND(J279&gt;213,J279&lt;=285),3,AND(J279&gt;285,J279&lt;=357),2,AND(J279&gt;357,J279&lt;=430),1)</f>
        <v>2</v>
      </c>
      <c r="N279" s="17" cm="1">
        <f t="array" ref="N279">_xlfn.IFS(AND(K279&gt;=1,K279&lt;=2),1,AND(K279&gt;=3,K279&lt;=4),2,AND(K279&gt;=5,K279&lt;=6),3,AND(K279&gt;=6,K279&lt;=9),4,AND(K279&gt;=10,K279&lt;=12),5)</f>
        <v>1</v>
      </c>
      <c r="O279" s="17" cm="1">
        <f t="array" ref="O279">_xlfn.IFS(AND(L279&gt;=4.1,L279&lt;=41.49),1,AND(L279&gt;=41.5,L279&lt;=78.86),2,AND(L279&gt;=78.87,L279&lt;=116.23),3,AND(L279&gt;=116.24,L279&lt;=153.6),4,AND(L279&gt;=153.61,L279&lt;=190.97),5)</f>
        <v>2</v>
      </c>
      <c r="P279" s="17">
        <f t="shared" si="4"/>
        <v>5</v>
      </c>
      <c r="Q279" s="17" t="str" cm="1">
        <f t="array" ref="Q279">_xlfn.IFS(P279&gt;=14,"Best Customers",AND(P279&gt;=10,P279&lt;14),"Loyal Customers",AND(P279&gt;=7,P279&lt;10),"Potential Customers",AND(P279&gt;=4,P279&lt;7),"Need Attention",P279&lt;4,"At Risk")</f>
        <v>Need Attention</v>
      </c>
    </row>
    <row r="280" spans="1:17" x14ac:dyDescent="0.35">
      <c r="A280" t="s">
        <v>473</v>
      </c>
      <c r="B280" t="s">
        <v>74</v>
      </c>
      <c r="C280" s="1">
        <v>45715.343007002317</v>
      </c>
      <c r="D280" t="s">
        <v>10</v>
      </c>
      <c r="E280">
        <v>17.579999999999998</v>
      </c>
      <c r="I280" s="17" t="s">
        <v>70</v>
      </c>
      <c r="J280" s="18">
        <v>88.656990740739275</v>
      </c>
      <c r="K280" s="17">
        <v>6</v>
      </c>
      <c r="L280" s="17">
        <v>125.53</v>
      </c>
      <c r="M280" s="17" cm="1">
        <f t="array" ref="M280">_xlfn.IFS(AND(J280&gt;=65,J280&lt;=141),5,AND(J280&gt;141,J280&lt;=213),4,AND(J280&gt;213,J280&lt;=285),3,AND(J280&gt;285,J280&lt;=357),2,AND(J280&gt;357,J280&lt;=430),1)</f>
        <v>5</v>
      </c>
      <c r="N280" s="17" cm="1">
        <f t="array" ref="N280">_xlfn.IFS(AND(K280&gt;=1,K280&lt;=2),1,AND(K280&gt;=3,K280&lt;=4),2,AND(K280&gt;=5,K280&lt;=6),3,AND(K280&gt;=6,K280&lt;=9),4,AND(K280&gt;=10,K280&lt;=12),5)</f>
        <v>3</v>
      </c>
      <c r="O280" s="17" cm="1">
        <f t="array" ref="O280">_xlfn.IFS(AND(L280&gt;=4.1,L280&lt;=41.49),1,AND(L280&gt;=41.5,L280&lt;=78.86),2,AND(L280&gt;=78.87,L280&lt;=116.23),3,AND(L280&gt;=116.24,L280&lt;=153.6),4,AND(L280&gt;=153.61,L280&lt;=190.97),5)</f>
        <v>4</v>
      </c>
      <c r="P280" s="17">
        <f t="shared" si="4"/>
        <v>12</v>
      </c>
      <c r="Q280" s="17" t="str" cm="1">
        <f t="array" ref="Q280">_xlfn.IFS(P280&gt;=14,"Best Customers",AND(P280&gt;=10,P280&lt;14),"Loyal Customers",AND(P280&gt;=7,P280&lt;10),"Potential Customers",AND(P280&gt;=4,P280&lt;7),"Need Attention",P280&lt;4,"At Risk")</f>
        <v>Loyal Customers</v>
      </c>
    </row>
    <row r="281" spans="1:17" x14ac:dyDescent="0.35">
      <c r="A281" t="s">
        <v>474</v>
      </c>
      <c r="B281" t="s">
        <v>110</v>
      </c>
      <c r="C281" s="1">
        <v>45756.343007002317</v>
      </c>
      <c r="D281" t="s">
        <v>29</v>
      </c>
      <c r="E281">
        <v>20.309999999999999</v>
      </c>
      <c r="I281" s="17" t="s">
        <v>181</v>
      </c>
      <c r="J281" s="18">
        <v>133.65699074073927</v>
      </c>
      <c r="K281" s="17">
        <v>3</v>
      </c>
      <c r="L281" s="17">
        <v>69.42</v>
      </c>
      <c r="M281" s="17" cm="1">
        <f t="array" ref="M281">_xlfn.IFS(AND(J281&gt;=65,J281&lt;=141),5,AND(J281&gt;141,J281&lt;=213),4,AND(J281&gt;213,J281&lt;=285),3,AND(J281&gt;285,J281&lt;=357),2,AND(J281&gt;357,J281&lt;=430),1)</f>
        <v>5</v>
      </c>
      <c r="N281" s="17" cm="1">
        <f t="array" ref="N281">_xlfn.IFS(AND(K281&gt;=1,K281&lt;=2),1,AND(K281&gt;=3,K281&lt;=4),2,AND(K281&gt;=5,K281&lt;=6),3,AND(K281&gt;=6,K281&lt;=9),4,AND(K281&gt;=10,K281&lt;=12),5)</f>
        <v>2</v>
      </c>
      <c r="O281" s="17" cm="1">
        <f t="array" ref="O281">_xlfn.IFS(AND(L281&gt;=4.1,L281&lt;=41.49),1,AND(L281&gt;=41.5,L281&lt;=78.86),2,AND(L281&gt;=78.87,L281&lt;=116.23),3,AND(L281&gt;=116.24,L281&lt;=153.6),4,AND(L281&gt;=153.61,L281&lt;=190.97),5)</f>
        <v>2</v>
      </c>
      <c r="P281" s="17">
        <f t="shared" si="4"/>
        <v>9</v>
      </c>
      <c r="Q281" s="17" t="str" cm="1">
        <f t="array" ref="Q281">_xlfn.IFS(P281&gt;=14,"Best Customers",AND(P281&gt;=10,P281&lt;14),"Loyal Customers",AND(P281&gt;=7,P281&lt;10),"Potential Customers",AND(P281&gt;=4,P281&lt;7),"Need Attention",P281&lt;4,"At Risk")</f>
        <v>Potential Customers</v>
      </c>
    </row>
    <row r="282" spans="1:17" x14ac:dyDescent="0.35">
      <c r="A282" t="s">
        <v>475</v>
      </c>
      <c r="B282" t="s">
        <v>52</v>
      </c>
      <c r="C282" s="1">
        <v>45711.343007002317</v>
      </c>
      <c r="D282" t="s">
        <v>10</v>
      </c>
      <c r="E282">
        <v>17.23</v>
      </c>
      <c r="I282" s="17" t="s">
        <v>213</v>
      </c>
      <c r="J282" s="18">
        <v>85.656990740739275</v>
      </c>
      <c r="K282" s="17">
        <v>12</v>
      </c>
      <c r="L282" s="17">
        <v>190.97</v>
      </c>
      <c r="M282" s="17" cm="1">
        <f t="array" ref="M282">_xlfn.IFS(AND(J282&gt;=65,J282&lt;=141),5,AND(J282&gt;141,J282&lt;=213),4,AND(J282&gt;213,J282&lt;=285),3,AND(J282&gt;285,J282&lt;=357),2,AND(J282&gt;357,J282&lt;=430),1)</f>
        <v>5</v>
      </c>
      <c r="N282" s="17" cm="1">
        <f t="array" ref="N282">_xlfn.IFS(AND(K282&gt;=1,K282&lt;=2),1,AND(K282&gt;=3,K282&lt;=4),2,AND(K282&gt;=5,K282&lt;=6),3,AND(K282&gt;=6,K282&lt;=9),4,AND(K282&gt;=10,K282&lt;=12),5)</f>
        <v>5</v>
      </c>
      <c r="O282" s="17" cm="1">
        <f t="array" ref="O282">_xlfn.IFS(AND(L282&gt;=4.1,L282&lt;=41.49),1,AND(L282&gt;=41.5,L282&lt;=78.86),2,AND(L282&gt;=78.87,L282&lt;=116.23),3,AND(L282&gt;=116.24,L282&lt;=153.6),4,AND(L282&gt;=153.61,L282&lt;=190.97),5)</f>
        <v>5</v>
      </c>
      <c r="P282" s="17">
        <f t="shared" si="4"/>
        <v>15</v>
      </c>
      <c r="Q282" s="17" t="str" cm="1">
        <f t="array" ref="Q282">_xlfn.IFS(P282&gt;=14,"Best Customers",AND(P282&gt;=10,P282&lt;14),"Loyal Customers",AND(P282&gt;=7,P282&lt;10),"Potential Customers",AND(P282&gt;=4,P282&lt;7),"Need Attention",P282&lt;4,"At Risk")</f>
        <v>Best Customers</v>
      </c>
    </row>
    <row r="283" spans="1:17" x14ac:dyDescent="0.35">
      <c r="A283" t="s">
        <v>476</v>
      </c>
      <c r="B283" t="s">
        <v>344</v>
      </c>
      <c r="C283" s="1">
        <v>45670.343007002317</v>
      </c>
      <c r="D283" t="s">
        <v>50</v>
      </c>
      <c r="E283">
        <v>5.05</v>
      </c>
      <c r="I283" s="17" t="s">
        <v>155</v>
      </c>
      <c r="J283" s="18">
        <v>193.65699074073927</v>
      </c>
      <c r="K283" s="17">
        <v>3</v>
      </c>
      <c r="L283" s="17">
        <v>59.379999999999995</v>
      </c>
      <c r="M283" s="17" cm="1">
        <f t="array" ref="M283">_xlfn.IFS(AND(J283&gt;=65,J283&lt;=141),5,AND(J283&gt;141,J283&lt;=213),4,AND(J283&gt;213,J283&lt;=285),3,AND(J283&gt;285,J283&lt;=357),2,AND(J283&gt;357,J283&lt;=430),1)</f>
        <v>4</v>
      </c>
      <c r="N283" s="17" cm="1">
        <f t="array" ref="N283">_xlfn.IFS(AND(K283&gt;=1,K283&lt;=2),1,AND(K283&gt;=3,K283&lt;=4),2,AND(K283&gt;=5,K283&lt;=6),3,AND(K283&gt;=6,K283&lt;=9),4,AND(K283&gt;=10,K283&lt;=12),5)</f>
        <v>2</v>
      </c>
      <c r="O283" s="17" cm="1">
        <f t="array" ref="O283">_xlfn.IFS(AND(L283&gt;=4.1,L283&lt;=41.49),1,AND(L283&gt;=41.5,L283&lt;=78.86),2,AND(L283&gt;=78.87,L283&lt;=116.23),3,AND(L283&gt;=116.24,L283&lt;=153.6),4,AND(L283&gt;=153.61,L283&lt;=190.97),5)</f>
        <v>2</v>
      </c>
      <c r="P283" s="17">
        <f t="shared" si="4"/>
        <v>8</v>
      </c>
      <c r="Q283" s="17" t="str" cm="1">
        <f t="array" ref="Q283">_xlfn.IFS(P283&gt;=14,"Best Customers",AND(P283&gt;=10,P283&lt;14),"Loyal Customers",AND(P283&gt;=7,P283&lt;10),"Potential Customers",AND(P283&gt;=4,P283&lt;7),"Need Attention",P283&lt;4,"At Risk")</f>
        <v>Potential Customers</v>
      </c>
    </row>
    <row r="284" spans="1:17" x14ac:dyDescent="0.35">
      <c r="A284" t="s">
        <v>477</v>
      </c>
      <c r="B284" t="s">
        <v>248</v>
      </c>
      <c r="C284" s="1">
        <v>45708.343007002317</v>
      </c>
      <c r="D284" t="s">
        <v>29</v>
      </c>
      <c r="E284">
        <v>26.33</v>
      </c>
      <c r="I284" s="17" t="s">
        <v>92</v>
      </c>
      <c r="J284" s="18">
        <v>159.65699074073927</v>
      </c>
      <c r="K284" s="17">
        <v>5</v>
      </c>
      <c r="L284" s="17">
        <v>57.31</v>
      </c>
      <c r="M284" s="17" cm="1">
        <f t="array" ref="M284">_xlfn.IFS(AND(J284&gt;=65,J284&lt;=141),5,AND(J284&gt;141,J284&lt;=213),4,AND(J284&gt;213,J284&lt;=285),3,AND(J284&gt;285,J284&lt;=357),2,AND(J284&gt;357,J284&lt;=430),1)</f>
        <v>4</v>
      </c>
      <c r="N284" s="17" cm="1">
        <f t="array" ref="N284">_xlfn.IFS(AND(K284&gt;=1,K284&lt;=2),1,AND(K284&gt;=3,K284&lt;=4),2,AND(K284&gt;=5,K284&lt;=6),3,AND(K284&gt;=6,K284&lt;=9),4,AND(K284&gt;=10,K284&lt;=12),5)</f>
        <v>3</v>
      </c>
      <c r="O284" s="17" cm="1">
        <f t="array" ref="O284">_xlfn.IFS(AND(L284&gt;=4.1,L284&lt;=41.49),1,AND(L284&gt;=41.5,L284&lt;=78.86),2,AND(L284&gt;=78.87,L284&lt;=116.23),3,AND(L284&gt;=116.24,L284&lt;=153.6),4,AND(L284&gt;=153.61,L284&lt;=190.97),5)</f>
        <v>2</v>
      </c>
      <c r="P284" s="17">
        <f t="shared" si="4"/>
        <v>9</v>
      </c>
      <c r="Q284" s="17" t="str" cm="1">
        <f t="array" ref="Q284">_xlfn.IFS(P284&gt;=14,"Best Customers",AND(P284&gt;=10,P284&lt;14),"Loyal Customers",AND(P284&gt;=7,P284&lt;10),"Potential Customers",AND(P284&gt;=4,P284&lt;7),"Need Attention",P284&lt;4,"At Risk")</f>
        <v>Potential Customers</v>
      </c>
    </row>
    <row r="285" spans="1:17" x14ac:dyDescent="0.35">
      <c r="A285" t="s">
        <v>478</v>
      </c>
      <c r="B285" t="s">
        <v>479</v>
      </c>
      <c r="C285" s="1">
        <v>45699.343007002317</v>
      </c>
      <c r="D285" t="s">
        <v>16</v>
      </c>
      <c r="E285">
        <v>10.58</v>
      </c>
      <c r="I285" s="17" t="s">
        <v>58</v>
      </c>
      <c r="J285" s="18">
        <v>114.65699074073927</v>
      </c>
      <c r="K285" s="17">
        <v>5</v>
      </c>
      <c r="L285" s="17">
        <v>97.41</v>
      </c>
      <c r="M285" s="17" cm="1">
        <f t="array" ref="M285">_xlfn.IFS(AND(J285&gt;=65,J285&lt;=141),5,AND(J285&gt;141,J285&lt;=213),4,AND(J285&gt;213,J285&lt;=285),3,AND(J285&gt;285,J285&lt;=357),2,AND(J285&gt;357,J285&lt;=430),1)</f>
        <v>5</v>
      </c>
      <c r="N285" s="17" cm="1">
        <f t="array" ref="N285">_xlfn.IFS(AND(K285&gt;=1,K285&lt;=2),1,AND(K285&gt;=3,K285&lt;=4),2,AND(K285&gt;=5,K285&lt;=6),3,AND(K285&gt;=6,K285&lt;=9),4,AND(K285&gt;=10,K285&lt;=12),5)</f>
        <v>3</v>
      </c>
      <c r="O285" s="17" cm="1">
        <f t="array" ref="O285">_xlfn.IFS(AND(L285&gt;=4.1,L285&lt;=41.49),1,AND(L285&gt;=41.5,L285&lt;=78.86),2,AND(L285&gt;=78.87,L285&lt;=116.23),3,AND(L285&gt;=116.24,L285&lt;=153.6),4,AND(L285&gt;=153.61,L285&lt;=190.97),5)</f>
        <v>3</v>
      </c>
      <c r="P285" s="17">
        <f t="shared" si="4"/>
        <v>11</v>
      </c>
      <c r="Q285" s="17" t="str" cm="1">
        <f t="array" ref="Q285">_xlfn.IFS(P285&gt;=14,"Best Customers",AND(P285&gt;=10,P285&lt;14),"Loyal Customers",AND(P285&gt;=7,P285&lt;10),"Potential Customers",AND(P285&gt;=4,P285&lt;7),"Need Attention",P285&lt;4,"At Risk")</f>
        <v>Loyal Customers</v>
      </c>
    </row>
    <row r="286" spans="1:17" x14ac:dyDescent="0.35">
      <c r="A286" t="s">
        <v>480</v>
      </c>
      <c r="B286" t="s">
        <v>221</v>
      </c>
      <c r="C286" s="1">
        <v>45935.343007002317</v>
      </c>
      <c r="D286" t="s">
        <v>50</v>
      </c>
      <c r="E286">
        <v>5.64</v>
      </c>
      <c r="I286" s="17" t="s">
        <v>228</v>
      </c>
      <c r="J286" s="18">
        <v>74.656990740739275</v>
      </c>
      <c r="K286" s="17">
        <v>2</v>
      </c>
      <c r="L286" s="17">
        <v>41.12</v>
      </c>
      <c r="M286" s="17" cm="1">
        <f t="array" ref="M286">_xlfn.IFS(AND(J286&gt;=65,J286&lt;=141),5,AND(J286&gt;141,J286&lt;=213),4,AND(J286&gt;213,J286&lt;=285),3,AND(J286&gt;285,J286&lt;=357),2,AND(J286&gt;357,J286&lt;=430),1)</f>
        <v>5</v>
      </c>
      <c r="N286" s="17" cm="1">
        <f t="array" ref="N286">_xlfn.IFS(AND(K286&gt;=1,K286&lt;=2),1,AND(K286&gt;=3,K286&lt;=4),2,AND(K286&gt;=5,K286&lt;=6),3,AND(K286&gt;=6,K286&lt;=9),4,AND(K286&gt;=10,K286&lt;=12),5)</f>
        <v>1</v>
      </c>
      <c r="O286" s="17" cm="1">
        <f t="array" ref="O286">_xlfn.IFS(AND(L286&gt;=4.1,L286&lt;=41.49),1,AND(L286&gt;=41.5,L286&lt;=78.86),2,AND(L286&gt;=78.87,L286&lt;=116.23),3,AND(L286&gt;=116.24,L286&lt;=153.6),4,AND(L286&gt;=153.61,L286&lt;=190.97),5)</f>
        <v>1</v>
      </c>
      <c r="P286" s="17">
        <f t="shared" si="4"/>
        <v>7</v>
      </c>
      <c r="Q286" s="17" t="str" cm="1">
        <f t="array" ref="Q286">_xlfn.IFS(P286&gt;=14,"Best Customers",AND(P286&gt;=10,P286&lt;14),"Loyal Customers",AND(P286&gt;=7,P286&lt;10),"Potential Customers",AND(P286&gt;=4,P286&lt;7),"Need Attention",P286&lt;4,"At Risk")</f>
        <v>Potential Customers</v>
      </c>
    </row>
    <row r="287" spans="1:17" x14ac:dyDescent="0.35">
      <c r="A287" t="s">
        <v>481</v>
      </c>
      <c r="B287" t="s">
        <v>122</v>
      </c>
      <c r="C287" s="1">
        <v>45849.343007002317</v>
      </c>
      <c r="D287" t="s">
        <v>16</v>
      </c>
      <c r="E287">
        <v>9.33</v>
      </c>
      <c r="I287" s="17" t="s">
        <v>1052</v>
      </c>
      <c r="J287" s="18">
        <v>116.65699074073927</v>
      </c>
      <c r="K287" s="17">
        <v>2</v>
      </c>
      <c r="L287" s="17">
        <v>28.03</v>
      </c>
      <c r="M287" s="17" cm="1">
        <f t="array" ref="M287">_xlfn.IFS(AND(J287&gt;=65,J287&lt;=141),5,AND(J287&gt;141,J287&lt;=213),4,AND(J287&gt;213,J287&lt;=285),3,AND(J287&gt;285,J287&lt;=357),2,AND(J287&gt;357,J287&lt;=430),1)</f>
        <v>5</v>
      </c>
      <c r="N287" s="17" cm="1">
        <f t="array" ref="N287">_xlfn.IFS(AND(K287&gt;=1,K287&lt;=2),1,AND(K287&gt;=3,K287&lt;=4),2,AND(K287&gt;=5,K287&lt;=6),3,AND(K287&gt;=6,K287&lt;=9),4,AND(K287&gt;=10,K287&lt;=12),5)</f>
        <v>1</v>
      </c>
      <c r="O287" s="17" cm="1">
        <f t="array" ref="O287">_xlfn.IFS(AND(L287&gt;=4.1,L287&lt;=41.49),1,AND(L287&gt;=41.5,L287&lt;=78.86),2,AND(L287&gt;=78.87,L287&lt;=116.23),3,AND(L287&gt;=116.24,L287&lt;=153.6),4,AND(L287&gt;=153.61,L287&lt;=190.97),5)</f>
        <v>1</v>
      </c>
      <c r="P287" s="17">
        <f t="shared" si="4"/>
        <v>7</v>
      </c>
      <c r="Q287" s="17" t="str" cm="1">
        <f t="array" ref="Q287">_xlfn.IFS(P287&gt;=14,"Best Customers",AND(P287&gt;=10,P287&lt;14),"Loyal Customers",AND(P287&gt;=7,P287&lt;10),"Potential Customers",AND(P287&gt;=4,P287&lt;7),"Need Attention",P287&lt;4,"At Risk")</f>
        <v>Potential Customers</v>
      </c>
    </row>
    <row r="288" spans="1:17" x14ac:dyDescent="0.35">
      <c r="A288" t="s">
        <v>482</v>
      </c>
      <c r="B288" t="s">
        <v>483</v>
      </c>
      <c r="C288" s="1">
        <v>45822.343007002317</v>
      </c>
      <c r="D288" t="s">
        <v>7</v>
      </c>
      <c r="E288">
        <v>43.73</v>
      </c>
      <c r="I288" s="17" t="s">
        <v>185</v>
      </c>
      <c r="J288" s="18">
        <v>74.656990740739275</v>
      </c>
      <c r="K288" s="17">
        <v>2</v>
      </c>
      <c r="L288" s="17">
        <v>36.299999999999997</v>
      </c>
      <c r="M288" s="17" cm="1">
        <f t="array" ref="M288">_xlfn.IFS(AND(J288&gt;=65,J288&lt;=141),5,AND(J288&gt;141,J288&lt;=213),4,AND(J288&gt;213,J288&lt;=285),3,AND(J288&gt;285,J288&lt;=357),2,AND(J288&gt;357,J288&lt;=430),1)</f>
        <v>5</v>
      </c>
      <c r="N288" s="17" cm="1">
        <f t="array" ref="N288">_xlfn.IFS(AND(K288&gt;=1,K288&lt;=2),1,AND(K288&gt;=3,K288&lt;=4),2,AND(K288&gt;=5,K288&lt;=6),3,AND(K288&gt;=6,K288&lt;=9),4,AND(K288&gt;=10,K288&lt;=12),5)</f>
        <v>1</v>
      </c>
      <c r="O288" s="17" cm="1">
        <f t="array" ref="O288">_xlfn.IFS(AND(L288&gt;=4.1,L288&lt;=41.49),1,AND(L288&gt;=41.5,L288&lt;=78.86),2,AND(L288&gt;=78.87,L288&lt;=116.23),3,AND(L288&gt;=116.24,L288&lt;=153.6),4,AND(L288&gt;=153.61,L288&lt;=190.97),5)</f>
        <v>1</v>
      </c>
      <c r="P288" s="17">
        <f t="shared" si="4"/>
        <v>7</v>
      </c>
      <c r="Q288" s="17" t="str" cm="1">
        <f t="array" ref="Q288">_xlfn.IFS(P288&gt;=14,"Best Customers",AND(P288&gt;=10,P288&lt;14),"Loyal Customers",AND(P288&gt;=7,P288&lt;10),"Potential Customers",AND(P288&gt;=4,P288&lt;7),"Need Attention",P288&lt;4,"At Risk")</f>
        <v>Potential Customers</v>
      </c>
    </row>
    <row r="289" spans="1:17" x14ac:dyDescent="0.35">
      <c r="A289" t="s">
        <v>484</v>
      </c>
      <c r="B289" t="s">
        <v>26</v>
      </c>
      <c r="C289" s="1">
        <v>45707.343007002317</v>
      </c>
      <c r="D289" t="s">
        <v>13</v>
      </c>
      <c r="E289">
        <v>12.14</v>
      </c>
      <c r="I289" s="17" t="s">
        <v>1000</v>
      </c>
      <c r="J289" s="18">
        <v>183.65699074073927</v>
      </c>
      <c r="K289" s="17">
        <v>2</v>
      </c>
      <c r="L289" s="17">
        <v>48.06</v>
      </c>
      <c r="M289" s="17" cm="1">
        <f t="array" ref="M289">_xlfn.IFS(AND(J289&gt;=65,J289&lt;=141),5,AND(J289&gt;141,J289&lt;=213),4,AND(J289&gt;213,J289&lt;=285),3,AND(J289&gt;285,J289&lt;=357),2,AND(J289&gt;357,J289&lt;=430),1)</f>
        <v>4</v>
      </c>
      <c r="N289" s="17" cm="1">
        <f t="array" ref="N289">_xlfn.IFS(AND(K289&gt;=1,K289&lt;=2),1,AND(K289&gt;=3,K289&lt;=4),2,AND(K289&gt;=5,K289&lt;=6),3,AND(K289&gt;=6,K289&lt;=9),4,AND(K289&gt;=10,K289&lt;=12),5)</f>
        <v>1</v>
      </c>
      <c r="O289" s="17" cm="1">
        <f t="array" ref="O289">_xlfn.IFS(AND(L289&gt;=4.1,L289&lt;=41.49),1,AND(L289&gt;=41.5,L289&lt;=78.86),2,AND(L289&gt;=78.87,L289&lt;=116.23),3,AND(L289&gt;=116.24,L289&lt;=153.6),4,AND(L289&gt;=153.61,L289&lt;=190.97),5)</f>
        <v>2</v>
      </c>
      <c r="P289" s="17">
        <f t="shared" si="4"/>
        <v>7</v>
      </c>
      <c r="Q289" s="17" t="str" cm="1">
        <f t="array" ref="Q289">_xlfn.IFS(P289&gt;=14,"Best Customers",AND(P289&gt;=10,P289&lt;14),"Loyal Customers",AND(P289&gt;=7,P289&lt;10),"Potential Customers",AND(P289&gt;=4,P289&lt;7),"Need Attention",P289&lt;4,"At Risk")</f>
        <v>Potential Customers</v>
      </c>
    </row>
    <row r="290" spans="1:17" x14ac:dyDescent="0.35">
      <c r="A290" t="s">
        <v>485</v>
      </c>
      <c r="B290" t="s">
        <v>460</v>
      </c>
      <c r="C290" s="1">
        <v>45694.343007002317</v>
      </c>
      <c r="D290" t="s">
        <v>50</v>
      </c>
      <c r="E290">
        <v>5.59</v>
      </c>
    </row>
    <row r="291" spans="1:17" x14ac:dyDescent="0.35">
      <c r="A291" t="s">
        <v>486</v>
      </c>
      <c r="B291" t="s">
        <v>487</v>
      </c>
      <c r="C291" s="1">
        <v>45748.343007002317</v>
      </c>
      <c r="D291" t="s">
        <v>7</v>
      </c>
      <c r="E291">
        <v>47.85</v>
      </c>
    </row>
    <row r="292" spans="1:17" x14ac:dyDescent="0.35">
      <c r="A292" t="s">
        <v>488</v>
      </c>
      <c r="B292" t="s">
        <v>86</v>
      </c>
      <c r="C292" s="1">
        <v>45944.343007002317</v>
      </c>
      <c r="D292" t="s">
        <v>50</v>
      </c>
      <c r="E292">
        <v>4.4000000000000004</v>
      </c>
    </row>
    <row r="293" spans="1:17" x14ac:dyDescent="0.35">
      <c r="A293" t="s">
        <v>489</v>
      </c>
      <c r="B293" t="s">
        <v>173</v>
      </c>
      <c r="C293" s="1">
        <v>45933.343007002317</v>
      </c>
      <c r="D293" t="s">
        <v>50</v>
      </c>
      <c r="E293">
        <v>5.99</v>
      </c>
    </row>
    <row r="294" spans="1:17" x14ac:dyDescent="0.35">
      <c r="A294" t="s">
        <v>490</v>
      </c>
      <c r="B294" t="s">
        <v>491</v>
      </c>
      <c r="C294" s="1">
        <v>45789.343007002317</v>
      </c>
      <c r="D294" t="s">
        <v>7</v>
      </c>
      <c r="E294">
        <v>33.44</v>
      </c>
    </row>
    <row r="295" spans="1:17" x14ac:dyDescent="0.35">
      <c r="A295" t="s">
        <v>492</v>
      </c>
      <c r="B295" t="s">
        <v>493</v>
      </c>
      <c r="C295" s="1">
        <v>45905.343007002317</v>
      </c>
      <c r="D295" t="s">
        <v>29</v>
      </c>
      <c r="E295">
        <v>20.02</v>
      </c>
    </row>
    <row r="296" spans="1:17" x14ac:dyDescent="0.35">
      <c r="A296" t="s">
        <v>494</v>
      </c>
      <c r="B296" t="s">
        <v>495</v>
      </c>
      <c r="C296" s="1">
        <v>45758.343007002317</v>
      </c>
      <c r="D296" t="s">
        <v>10</v>
      </c>
      <c r="E296">
        <v>12.26</v>
      </c>
    </row>
    <row r="297" spans="1:17" x14ac:dyDescent="0.35">
      <c r="A297" t="s">
        <v>496</v>
      </c>
      <c r="B297" t="s">
        <v>497</v>
      </c>
      <c r="C297" s="1">
        <v>45803.343007002317</v>
      </c>
      <c r="D297" t="s">
        <v>16</v>
      </c>
      <c r="E297">
        <v>9.3699999999999992</v>
      </c>
    </row>
    <row r="298" spans="1:17" x14ac:dyDescent="0.35">
      <c r="A298" t="s">
        <v>498</v>
      </c>
      <c r="B298" t="s">
        <v>28</v>
      </c>
      <c r="C298" s="1">
        <v>45764.343007002317</v>
      </c>
      <c r="D298" t="s">
        <v>50</v>
      </c>
      <c r="E298">
        <v>5.27</v>
      </c>
    </row>
    <row r="299" spans="1:17" x14ac:dyDescent="0.35">
      <c r="A299" t="s">
        <v>499</v>
      </c>
      <c r="B299" t="s">
        <v>500</v>
      </c>
      <c r="C299" s="1">
        <v>45756.343007002317</v>
      </c>
      <c r="D299" t="s">
        <v>16</v>
      </c>
      <c r="E299">
        <v>8.2799999999999994</v>
      </c>
    </row>
    <row r="300" spans="1:17" x14ac:dyDescent="0.35">
      <c r="A300" t="s">
        <v>501</v>
      </c>
      <c r="B300" t="s">
        <v>502</v>
      </c>
      <c r="C300" s="1">
        <v>45663.343007002317</v>
      </c>
      <c r="D300" t="s">
        <v>13</v>
      </c>
      <c r="E300">
        <v>9.6300000000000008</v>
      </c>
    </row>
    <row r="301" spans="1:17" x14ac:dyDescent="0.35">
      <c r="A301" t="s">
        <v>503</v>
      </c>
      <c r="B301" t="s">
        <v>181</v>
      </c>
      <c r="C301" s="1">
        <v>45884.343007002317</v>
      </c>
      <c r="D301" t="s">
        <v>7</v>
      </c>
      <c r="E301">
        <v>46.99</v>
      </c>
    </row>
    <row r="302" spans="1:17" x14ac:dyDescent="0.35">
      <c r="A302" t="s">
        <v>504</v>
      </c>
      <c r="B302" t="s">
        <v>183</v>
      </c>
      <c r="C302" s="1">
        <v>45872.343007002317</v>
      </c>
      <c r="D302" t="s">
        <v>16</v>
      </c>
      <c r="E302">
        <v>11.29</v>
      </c>
    </row>
    <row r="303" spans="1:17" x14ac:dyDescent="0.35">
      <c r="A303" t="s">
        <v>505</v>
      </c>
      <c r="B303" t="s">
        <v>225</v>
      </c>
      <c r="C303" s="1">
        <v>45899.343007002317</v>
      </c>
      <c r="D303" t="s">
        <v>7</v>
      </c>
      <c r="E303">
        <v>44.95</v>
      </c>
    </row>
    <row r="304" spans="1:17" x14ac:dyDescent="0.35">
      <c r="A304" t="s">
        <v>506</v>
      </c>
      <c r="B304" t="s">
        <v>243</v>
      </c>
      <c r="C304" s="1">
        <v>45730.343007002317</v>
      </c>
      <c r="D304" t="s">
        <v>16</v>
      </c>
      <c r="E304">
        <v>11.54</v>
      </c>
    </row>
    <row r="305" spans="1:5" x14ac:dyDescent="0.35">
      <c r="A305" t="s">
        <v>507</v>
      </c>
      <c r="B305" t="s">
        <v>62</v>
      </c>
      <c r="C305" s="1">
        <v>45790.343007002317</v>
      </c>
      <c r="D305" t="s">
        <v>10</v>
      </c>
      <c r="E305">
        <v>16.2</v>
      </c>
    </row>
    <row r="306" spans="1:5" x14ac:dyDescent="0.35">
      <c r="A306" t="s">
        <v>508</v>
      </c>
      <c r="B306" t="s">
        <v>58</v>
      </c>
      <c r="C306" s="1">
        <v>45723.343007002317</v>
      </c>
      <c r="D306" t="s">
        <v>10</v>
      </c>
      <c r="E306">
        <v>12.63</v>
      </c>
    </row>
    <row r="307" spans="1:5" x14ac:dyDescent="0.35">
      <c r="A307" t="s">
        <v>509</v>
      </c>
      <c r="B307" t="s">
        <v>192</v>
      </c>
      <c r="C307" s="1">
        <v>45628.343007002317</v>
      </c>
      <c r="D307" t="s">
        <v>10</v>
      </c>
      <c r="E307">
        <v>14.39</v>
      </c>
    </row>
    <row r="308" spans="1:5" x14ac:dyDescent="0.35">
      <c r="A308" t="s">
        <v>510</v>
      </c>
      <c r="B308" t="s">
        <v>511</v>
      </c>
      <c r="C308" s="1">
        <v>45771.343007002317</v>
      </c>
      <c r="D308" t="s">
        <v>10</v>
      </c>
      <c r="E308">
        <v>16.34</v>
      </c>
    </row>
    <row r="309" spans="1:5" x14ac:dyDescent="0.35">
      <c r="A309" t="s">
        <v>512</v>
      </c>
      <c r="B309" t="s">
        <v>325</v>
      </c>
      <c r="C309" s="1">
        <v>45617.343007002317</v>
      </c>
      <c r="D309" t="s">
        <v>10</v>
      </c>
      <c r="E309">
        <v>13.68</v>
      </c>
    </row>
    <row r="310" spans="1:5" x14ac:dyDescent="0.35">
      <c r="A310" t="s">
        <v>513</v>
      </c>
      <c r="B310" t="s">
        <v>514</v>
      </c>
      <c r="C310" s="1">
        <v>45833.343007002317</v>
      </c>
      <c r="D310" t="s">
        <v>10</v>
      </c>
      <c r="E310">
        <v>16.12</v>
      </c>
    </row>
    <row r="311" spans="1:5" x14ac:dyDescent="0.35">
      <c r="A311" t="s">
        <v>515</v>
      </c>
      <c r="B311" t="s">
        <v>92</v>
      </c>
      <c r="C311" s="1">
        <v>45753.343007002317</v>
      </c>
      <c r="D311" t="s">
        <v>7</v>
      </c>
      <c r="E311">
        <v>32.39</v>
      </c>
    </row>
    <row r="312" spans="1:5" x14ac:dyDescent="0.35">
      <c r="A312" t="s">
        <v>516</v>
      </c>
      <c r="B312" t="s">
        <v>517</v>
      </c>
      <c r="C312" s="1">
        <v>45633.343007002317</v>
      </c>
      <c r="D312" t="s">
        <v>50</v>
      </c>
      <c r="E312">
        <v>4.6100000000000003</v>
      </c>
    </row>
    <row r="313" spans="1:5" x14ac:dyDescent="0.35">
      <c r="A313" t="s">
        <v>518</v>
      </c>
      <c r="B313" t="s">
        <v>519</v>
      </c>
      <c r="C313" s="1">
        <v>45825.343007002317</v>
      </c>
      <c r="D313" t="s">
        <v>16</v>
      </c>
      <c r="E313">
        <v>10.199999999999999</v>
      </c>
    </row>
    <row r="314" spans="1:5" x14ac:dyDescent="0.35">
      <c r="A314" t="s">
        <v>520</v>
      </c>
      <c r="B314" t="s">
        <v>460</v>
      </c>
      <c r="C314" s="1">
        <v>45960.343007002317</v>
      </c>
      <c r="D314" t="s">
        <v>10</v>
      </c>
      <c r="E314">
        <v>15.79</v>
      </c>
    </row>
    <row r="315" spans="1:5" x14ac:dyDescent="0.35">
      <c r="A315" t="s">
        <v>521</v>
      </c>
      <c r="B315" t="s">
        <v>241</v>
      </c>
      <c r="C315" s="1">
        <v>45646.343007002317</v>
      </c>
      <c r="D315" t="s">
        <v>7</v>
      </c>
      <c r="E315">
        <v>41.23</v>
      </c>
    </row>
    <row r="316" spans="1:5" x14ac:dyDescent="0.35">
      <c r="A316" t="s">
        <v>522</v>
      </c>
      <c r="B316" t="s">
        <v>130</v>
      </c>
      <c r="C316" s="1">
        <v>45859.343007002317</v>
      </c>
      <c r="D316" t="s">
        <v>7</v>
      </c>
      <c r="E316">
        <v>43.16</v>
      </c>
    </row>
    <row r="317" spans="1:5" x14ac:dyDescent="0.35">
      <c r="A317" t="s">
        <v>523</v>
      </c>
      <c r="B317" t="s">
        <v>272</v>
      </c>
      <c r="C317" s="1">
        <v>45878.343007002317</v>
      </c>
      <c r="D317" t="s">
        <v>7</v>
      </c>
      <c r="E317">
        <v>32.1</v>
      </c>
    </row>
    <row r="318" spans="1:5" x14ac:dyDescent="0.35">
      <c r="A318" t="s">
        <v>524</v>
      </c>
      <c r="B318" t="s">
        <v>448</v>
      </c>
      <c r="C318" s="1">
        <v>45622.343007002317</v>
      </c>
      <c r="D318" t="s">
        <v>50</v>
      </c>
      <c r="E318">
        <v>4.2</v>
      </c>
    </row>
    <row r="319" spans="1:5" x14ac:dyDescent="0.35">
      <c r="A319" t="s">
        <v>525</v>
      </c>
      <c r="B319" t="s">
        <v>45</v>
      </c>
      <c r="C319" s="1">
        <v>45821.343007002317</v>
      </c>
      <c r="D319" t="s">
        <v>16</v>
      </c>
      <c r="E319">
        <v>11.48</v>
      </c>
    </row>
    <row r="320" spans="1:5" x14ac:dyDescent="0.35">
      <c r="A320" t="s">
        <v>526</v>
      </c>
      <c r="B320" t="s">
        <v>134</v>
      </c>
      <c r="C320" s="1">
        <v>45872.343007002317</v>
      </c>
      <c r="D320" t="s">
        <v>50</v>
      </c>
      <c r="E320">
        <v>5.36</v>
      </c>
    </row>
    <row r="321" spans="1:5" x14ac:dyDescent="0.35">
      <c r="A321" t="s">
        <v>527</v>
      </c>
      <c r="B321" t="s">
        <v>528</v>
      </c>
      <c r="C321" s="1">
        <v>45881.343007002317</v>
      </c>
      <c r="D321" t="s">
        <v>29</v>
      </c>
      <c r="E321">
        <v>21.13</v>
      </c>
    </row>
    <row r="322" spans="1:5" x14ac:dyDescent="0.35">
      <c r="A322" t="s">
        <v>529</v>
      </c>
      <c r="B322" t="s">
        <v>393</v>
      </c>
      <c r="C322" s="1">
        <v>45692.343007002317</v>
      </c>
      <c r="D322" t="s">
        <v>7</v>
      </c>
      <c r="E322">
        <v>45.47</v>
      </c>
    </row>
    <row r="323" spans="1:5" x14ac:dyDescent="0.35">
      <c r="A323" t="s">
        <v>530</v>
      </c>
      <c r="B323" t="s">
        <v>359</v>
      </c>
      <c r="C323" s="1">
        <v>45879.343007002317</v>
      </c>
      <c r="D323" t="s">
        <v>29</v>
      </c>
      <c r="E323">
        <v>22.42</v>
      </c>
    </row>
    <row r="324" spans="1:5" x14ac:dyDescent="0.35">
      <c r="A324" t="s">
        <v>531</v>
      </c>
      <c r="B324" t="s">
        <v>190</v>
      </c>
      <c r="C324" s="1">
        <v>45912.343007002317</v>
      </c>
      <c r="D324" t="s">
        <v>13</v>
      </c>
      <c r="E324">
        <v>11.9</v>
      </c>
    </row>
    <row r="325" spans="1:5" x14ac:dyDescent="0.35">
      <c r="A325" t="s">
        <v>532</v>
      </c>
      <c r="B325" t="s">
        <v>519</v>
      </c>
      <c r="C325" s="1">
        <v>45899.343007002317</v>
      </c>
      <c r="D325" t="s">
        <v>10</v>
      </c>
      <c r="E325">
        <v>12.87</v>
      </c>
    </row>
    <row r="326" spans="1:5" x14ac:dyDescent="0.35">
      <c r="A326" t="s">
        <v>533</v>
      </c>
      <c r="B326" t="s">
        <v>254</v>
      </c>
      <c r="C326" s="1">
        <v>45742.343007002317</v>
      </c>
      <c r="D326" t="s">
        <v>10</v>
      </c>
      <c r="E326">
        <v>16.260000000000002</v>
      </c>
    </row>
    <row r="327" spans="1:5" x14ac:dyDescent="0.35">
      <c r="A327" t="s">
        <v>534</v>
      </c>
      <c r="B327" t="s">
        <v>446</v>
      </c>
      <c r="C327" s="1">
        <v>45599.343007002317</v>
      </c>
      <c r="D327" t="s">
        <v>50</v>
      </c>
      <c r="E327">
        <v>5.33</v>
      </c>
    </row>
    <row r="328" spans="1:5" x14ac:dyDescent="0.35">
      <c r="A328" t="s">
        <v>535</v>
      </c>
      <c r="B328" t="s">
        <v>250</v>
      </c>
      <c r="C328" s="1">
        <v>45630.343007002317</v>
      </c>
      <c r="D328" t="s">
        <v>16</v>
      </c>
      <c r="E328">
        <v>8.84</v>
      </c>
    </row>
    <row r="329" spans="1:5" x14ac:dyDescent="0.35">
      <c r="A329" t="s">
        <v>536</v>
      </c>
      <c r="B329" t="s">
        <v>537</v>
      </c>
      <c r="C329" s="1">
        <v>45787.343007002317</v>
      </c>
      <c r="D329" t="s">
        <v>29</v>
      </c>
      <c r="E329">
        <v>28.63</v>
      </c>
    </row>
    <row r="330" spans="1:5" x14ac:dyDescent="0.35">
      <c r="A330" t="s">
        <v>538</v>
      </c>
      <c r="B330" t="s">
        <v>446</v>
      </c>
      <c r="C330" s="1">
        <v>45644.343007002317</v>
      </c>
      <c r="D330" t="s">
        <v>16</v>
      </c>
      <c r="E330">
        <v>9.61</v>
      </c>
    </row>
    <row r="331" spans="1:5" x14ac:dyDescent="0.35">
      <c r="A331" t="s">
        <v>539</v>
      </c>
      <c r="B331" t="s">
        <v>58</v>
      </c>
      <c r="C331" s="1">
        <v>45612.343007002317</v>
      </c>
      <c r="D331" t="s">
        <v>50</v>
      </c>
      <c r="E331">
        <v>4.59</v>
      </c>
    </row>
    <row r="332" spans="1:5" x14ac:dyDescent="0.35">
      <c r="A332" t="s">
        <v>540</v>
      </c>
      <c r="B332" t="s">
        <v>264</v>
      </c>
      <c r="C332" s="1">
        <v>45767.343007002317</v>
      </c>
      <c r="D332" t="s">
        <v>10</v>
      </c>
      <c r="E332">
        <v>12.91</v>
      </c>
    </row>
    <row r="333" spans="1:5" x14ac:dyDescent="0.35">
      <c r="A333" t="s">
        <v>541</v>
      </c>
      <c r="B333" t="s">
        <v>542</v>
      </c>
      <c r="C333" s="1">
        <v>45815.343007002317</v>
      </c>
      <c r="D333" t="s">
        <v>16</v>
      </c>
      <c r="E333">
        <v>9.06</v>
      </c>
    </row>
    <row r="334" spans="1:5" x14ac:dyDescent="0.35">
      <c r="A334" t="s">
        <v>543</v>
      </c>
      <c r="B334" t="s">
        <v>544</v>
      </c>
      <c r="C334" s="1">
        <v>45753.343007002317</v>
      </c>
      <c r="D334" t="s">
        <v>16</v>
      </c>
      <c r="E334">
        <v>8.09</v>
      </c>
    </row>
    <row r="335" spans="1:5" x14ac:dyDescent="0.35">
      <c r="A335" t="s">
        <v>545</v>
      </c>
      <c r="B335" t="s">
        <v>546</v>
      </c>
      <c r="C335" s="1">
        <v>45641.343007002317</v>
      </c>
      <c r="D335" t="s">
        <v>10</v>
      </c>
      <c r="E335">
        <v>15.5</v>
      </c>
    </row>
    <row r="336" spans="1:5" x14ac:dyDescent="0.35">
      <c r="A336" t="s">
        <v>547</v>
      </c>
      <c r="B336" t="s">
        <v>94</v>
      </c>
      <c r="C336" s="1">
        <v>45601.343007002317</v>
      </c>
      <c r="D336" t="s">
        <v>29</v>
      </c>
      <c r="E336">
        <v>28.42</v>
      </c>
    </row>
    <row r="337" spans="1:5" x14ac:dyDescent="0.35">
      <c r="A337" t="s">
        <v>548</v>
      </c>
      <c r="B337" t="s">
        <v>88</v>
      </c>
      <c r="C337" s="1">
        <v>45694.343007002317</v>
      </c>
      <c r="D337" t="s">
        <v>10</v>
      </c>
      <c r="E337">
        <v>15.29</v>
      </c>
    </row>
    <row r="338" spans="1:5" x14ac:dyDescent="0.35">
      <c r="A338" t="s">
        <v>549</v>
      </c>
      <c r="B338" t="s">
        <v>256</v>
      </c>
      <c r="C338" s="1">
        <v>45828.343007002317</v>
      </c>
      <c r="D338" t="s">
        <v>16</v>
      </c>
      <c r="E338">
        <v>8.8800000000000008</v>
      </c>
    </row>
    <row r="339" spans="1:5" x14ac:dyDescent="0.35">
      <c r="A339" t="s">
        <v>550</v>
      </c>
      <c r="B339" t="s">
        <v>118</v>
      </c>
      <c r="C339" s="1">
        <v>45632.343007002317</v>
      </c>
      <c r="D339" t="s">
        <v>29</v>
      </c>
      <c r="E339">
        <v>20.34</v>
      </c>
    </row>
    <row r="340" spans="1:5" x14ac:dyDescent="0.35">
      <c r="A340" t="s">
        <v>551</v>
      </c>
      <c r="B340" t="s">
        <v>70</v>
      </c>
      <c r="C340" s="1">
        <v>45875.343007002317</v>
      </c>
      <c r="D340" t="s">
        <v>29</v>
      </c>
      <c r="E340">
        <v>22.15</v>
      </c>
    </row>
    <row r="341" spans="1:5" x14ac:dyDescent="0.35">
      <c r="A341" t="s">
        <v>552</v>
      </c>
      <c r="B341" t="s">
        <v>337</v>
      </c>
      <c r="C341" s="1">
        <v>45944.343007002317</v>
      </c>
      <c r="D341" t="s">
        <v>10</v>
      </c>
      <c r="E341">
        <v>14.5</v>
      </c>
    </row>
    <row r="342" spans="1:5" x14ac:dyDescent="0.35">
      <c r="A342" t="s">
        <v>553</v>
      </c>
      <c r="B342" t="s">
        <v>64</v>
      </c>
      <c r="C342" s="1">
        <v>45897.343007002317</v>
      </c>
      <c r="D342" t="s">
        <v>16</v>
      </c>
      <c r="E342">
        <v>11.04</v>
      </c>
    </row>
    <row r="343" spans="1:5" x14ac:dyDescent="0.35">
      <c r="A343" t="s">
        <v>554</v>
      </c>
      <c r="B343" t="s">
        <v>555</v>
      </c>
      <c r="C343" s="1">
        <v>45776.343007002317</v>
      </c>
      <c r="D343" t="s">
        <v>50</v>
      </c>
      <c r="E343">
        <v>4.38</v>
      </c>
    </row>
    <row r="344" spans="1:5" x14ac:dyDescent="0.35">
      <c r="A344" t="s">
        <v>556</v>
      </c>
      <c r="B344" t="s">
        <v>22</v>
      </c>
      <c r="C344" s="1">
        <v>45690.343007002317</v>
      </c>
      <c r="D344" t="s">
        <v>16</v>
      </c>
      <c r="E344">
        <v>10.88</v>
      </c>
    </row>
    <row r="345" spans="1:5" x14ac:dyDescent="0.35">
      <c r="A345" t="s">
        <v>557</v>
      </c>
      <c r="B345" t="s">
        <v>558</v>
      </c>
      <c r="C345" s="1">
        <v>45694.343007002317</v>
      </c>
      <c r="D345" t="s">
        <v>7</v>
      </c>
      <c r="E345">
        <v>45.87</v>
      </c>
    </row>
    <row r="346" spans="1:5" x14ac:dyDescent="0.35">
      <c r="A346" t="s">
        <v>559</v>
      </c>
      <c r="B346" t="s">
        <v>560</v>
      </c>
      <c r="C346" s="1">
        <v>45783.343007002317</v>
      </c>
      <c r="D346" t="s">
        <v>13</v>
      </c>
      <c r="E346">
        <v>11.78</v>
      </c>
    </row>
    <row r="347" spans="1:5" x14ac:dyDescent="0.35">
      <c r="A347" t="s">
        <v>561</v>
      </c>
      <c r="B347" t="s">
        <v>562</v>
      </c>
      <c r="C347" s="1">
        <v>45711.343007002317</v>
      </c>
      <c r="D347" t="s">
        <v>50</v>
      </c>
      <c r="E347">
        <v>5.64</v>
      </c>
    </row>
    <row r="348" spans="1:5" x14ac:dyDescent="0.35">
      <c r="A348" t="s">
        <v>563</v>
      </c>
      <c r="B348" t="s">
        <v>33</v>
      </c>
      <c r="C348" s="1">
        <v>45786.343007002317</v>
      </c>
      <c r="D348" t="s">
        <v>29</v>
      </c>
      <c r="E348">
        <v>25.55</v>
      </c>
    </row>
    <row r="349" spans="1:5" x14ac:dyDescent="0.35">
      <c r="A349" t="s">
        <v>564</v>
      </c>
      <c r="B349" t="s">
        <v>565</v>
      </c>
      <c r="C349" s="1">
        <v>45848.343007002317</v>
      </c>
      <c r="D349" t="s">
        <v>50</v>
      </c>
      <c r="E349">
        <v>5.27</v>
      </c>
    </row>
    <row r="350" spans="1:5" x14ac:dyDescent="0.35">
      <c r="A350" t="s">
        <v>566</v>
      </c>
      <c r="B350" t="s">
        <v>264</v>
      </c>
      <c r="C350" s="1">
        <v>45756.343007002317</v>
      </c>
      <c r="D350" t="s">
        <v>29</v>
      </c>
      <c r="E350">
        <v>25.26</v>
      </c>
    </row>
    <row r="351" spans="1:5" x14ac:dyDescent="0.35">
      <c r="A351" t="s">
        <v>567</v>
      </c>
      <c r="B351" t="s">
        <v>568</v>
      </c>
      <c r="C351" s="1">
        <v>45851.343007002317</v>
      </c>
      <c r="D351" t="s">
        <v>29</v>
      </c>
      <c r="E351">
        <v>24.63</v>
      </c>
    </row>
    <row r="352" spans="1:5" x14ac:dyDescent="0.35">
      <c r="A352" t="s">
        <v>569</v>
      </c>
      <c r="B352" t="s">
        <v>560</v>
      </c>
      <c r="C352" s="1">
        <v>45918.343007002317</v>
      </c>
      <c r="D352" t="s">
        <v>50</v>
      </c>
      <c r="E352">
        <v>4.47</v>
      </c>
    </row>
    <row r="353" spans="1:5" x14ac:dyDescent="0.35">
      <c r="A353" t="s">
        <v>570</v>
      </c>
      <c r="B353" t="s">
        <v>571</v>
      </c>
      <c r="C353" s="1">
        <v>45723.343007002317</v>
      </c>
      <c r="D353" t="s">
        <v>29</v>
      </c>
      <c r="E353">
        <v>23.03</v>
      </c>
    </row>
    <row r="354" spans="1:5" x14ac:dyDescent="0.35">
      <c r="A354" t="s">
        <v>572</v>
      </c>
      <c r="B354" t="s">
        <v>161</v>
      </c>
      <c r="C354" s="1">
        <v>45613.343007002317</v>
      </c>
      <c r="D354" t="s">
        <v>29</v>
      </c>
      <c r="E354">
        <v>22.9</v>
      </c>
    </row>
    <row r="355" spans="1:5" x14ac:dyDescent="0.35">
      <c r="A355" t="s">
        <v>573</v>
      </c>
      <c r="B355" t="s">
        <v>334</v>
      </c>
      <c r="C355" s="1">
        <v>45876.343007002317</v>
      </c>
      <c r="D355" t="s">
        <v>7</v>
      </c>
      <c r="E355">
        <v>41.01</v>
      </c>
    </row>
    <row r="356" spans="1:5" x14ac:dyDescent="0.35">
      <c r="A356" t="s">
        <v>574</v>
      </c>
      <c r="B356" t="s">
        <v>243</v>
      </c>
      <c r="C356" s="1">
        <v>45818.343007002317</v>
      </c>
      <c r="D356" t="s">
        <v>16</v>
      </c>
      <c r="E356">
        <v>8.48</v>
      </c>
    </row>
    <row r="357" spans="1:5" x14ac:dyDescent="0.35">
      <c r="A357" t="s">
        <v>575</v>
      </c>
      <c r="B357" t="s">
        <v>424</v>
      </c>
      <c r="C357" s="1">
        <v>45649.343007002317</v>
      </c>
      <c r="D357" t="s">
        <v>16</v>
      </c>
      <c r="E357">
        <v>11.67</v>
      </c>
    </row>
    <row r="358" spans="1:5" x14ac:dyDescent="0.35">
      <c r="A358" t="s">
        <v>576</v>
      </c>
      <c r="B358" t="s">
        <v>303</v>
      </c>
      <c r="C358" s="1">
        <v>45653.343007002317</v>
      </c>
      <c r="D358" t="s">
        <v>13</v>
      </c>
      <c r="E358">
        <v>13.06</v>
      </c>
    </row>
    <row r="359" spans="1:5" x14ac:dyDescent="0.35">
      <c r="A359" t="s">
        <v>577</v>
      </c>
      <c r="B359" t="s">
        <v>120</v>
      </c>
      <c r="C359" s="1">
        <v>45918.343007002317</v>
      </c>
      <c r="D359" t="s">
        <v>13</v>
      </c>
      <c r="E359">
        <v>11.53</v>
      </c>
    </row>
    <row r="360" spans="1:5" x14ac:dyDescent="0.35">
      <c r="A360" t="s">
        <v>578</v>
      </c>
      <c r="B360" t="s">
        <v>197</v>
      </c>
      <c r="C360" s="1">
        <v>45955.343007002317</v>
      </c>
      <c r="D360" t="s">
        <v>7</v>
      </c>
      <c r="E360">
        <v>34.54</v>
      </c>
    </row>
    <row r="361" spans="1:5" x14ac:dyDescent="0.35">
      <c r="A361" t="s">
        <v>579</v>
      </c>
      <c r="B361" t="s">
        <v>256</v>
      </c>
      <c r="C361" s="1">
        <v>45769.343007002317</v>
      </c>
      <c r="D361" t="s">
        <v>13</v>
      </c>
      <c r="E361">
        <v>13.83</v>
      </c>
    </row>
    <row r="362" spans="1:5" x14ac:dyDescent="0.35">
      <c r="A362" t="s">
        <v>580</v>
      </c>
      <c r="B362" t="s">
        <v>84</v>
      </c>
      <c r="C362" s="1">
        <v>45875.343007002317</v>
      </c>
      <c r="D362" t="s">
        <v>50</v>
      </c>
      <c r="E362">
        <v>5.65</v>
      </c>
    </row>
    <row r="363" spans="1:5" x14ac:dyDescent="0.35">
      <c r="A363" t="s">
        <v>581</v>
      </c>
      <c r="B363" t="s">
        <v>487</v>
      </c>
      <c r="C363" s="1">
        <v>45709.343007002317</v>
      </c>
      <c r="D363" t="s">
        <v>10</v>
      </c>
      <c r="E363">
        <v>16.329999999999998</v>
      </c>
    </row>
    <row r="364" spans="1:5" x14ac:dyDescent="0.35">
      <c r="A364" t="s">
        <v>582</v>
      </c>
      <c r="B364" t="s">
        <v>108</v>
      </c>
      <c r="C364" s="1">
        <v>45883.343007002317</v>
      </c>
      <c r="D364" t="s">
        <v>10</v>
      </c>
      <c r="E364">
        <v>13.63</v>
      </c>
    </row>
    <row r="365" spans="1:5" x14ac:dyDescent="0.35">
      <c r="A365" t="s">
        <v>583</v>
      </c>
      <c r="B365" t="s">
        <v>429</v>
      </c>
      <c r="C365" s="1">
        <v>45937.343007002317</v>
      </c>
      <c r="D365" t="s">
        <v>10</v>
      </c>
      <c r="E365">
        <v>14.41</v>
      </c>
    </row>
    <row r="366" spans="1:5" x14ac:dyDescent="0.35">
      <c r="A366" t="s">
        <v>584</v>
      </c>
      <c r="B366" t="s">
        <v>585</v>
      </c>
      <c r="C366" s="1">
        <v>45746.343007002317</v>
      </c>
      <c r="D366" t="s">
        <v>7</v>
      </c>
      <c r="E366">
        <v>33.64</v>
      </c>
    </row>
    <row r="367" spans="1:5" x14ac:dyDescent="0.35">
      <c r="A367" t="s">
        <v>586</v>
      </c>
      <c r="B367" t="s">
        <v>171</v>
      </c>
      <c r="C367" s="1">
        <v>45722.343007002317</v>
      </c>
      <c r="D367" t="s">
        <v>7</v>
      </c>
      <c r="E367">
        <v>35.020000000000003</v>
      </c>
    </row>
    <row r="368" spans="1:5" x14ac:dyDescent="0.35">
      <c r="A368" t="s">
        <v>587</v>
      </c>
      <c r="B368" t="s">
        <v>98</v>
      </c>
      <c r="C368" s="1">
        <v>45750.343007002317</v>
      </c>
      <c r="D368" t="s">
        <v>29</v>
      </c>
      <c r="E368">
        <v>27.83</v>
      </c>
    </row>
    <row r="369" spans="1:5" x14ac:dyDescent="0.35">
      <c r="A369" t="s">
        <v>588</v>
      </c>
      <c r="B369" t="s">
        <v>340</v>
      </c>
      <c r="C369" s="1">
        <v>45868.343007002317</v>
      </c>
      <c r="D369" t="s">
        <v>10</v>
      </c>
      <c r="E369">
        <v>16.29</v>
      </c>
    </row>
    <row r="370" spans="1:5" x14ac:dyDescent="0.35">
      <c r="A370" t="s">
        <v>589</v>
      </c>
      <c r="B370" t="s">
        <v>590</v>
      </c>
      <c r="C370" s="1">
        <v>45699.343007002317</v>
      </c>
      <c r="D370" t="s">
        <v>50</v>
      </c>
      <c r="E370">
        <v>5.19</v>
      </c>
    </row>
    <row r="371" spans="1:5" x14ac:dyDescent="0.35">
      <c r="A371" t="s">
        <v>591</v>
      </c>
      <c r="B371" t="s">
        <v>592</v>
      </c>
      <c r="C371" s="1">
        <v>45894.343007002317</v>
      </c>
      <c r="D371" t="s">
        <v>13</v>
      </c>
      <c r="E371">
        <v>13.9</v>
      </c>
    </row>
    <row r="372" spans="1:5" x14ac:dyDescent="0.35">
      <c r="A372" t="s">
        <v>593</v>
      </c>
      <c r="B372" t="s">
        <v>183</v>
      </c>
      <c r="C372" s="1">
        <v>45841.343007002317</v>
      </c>
      <c r="D372" t="s">
        <v>50</v>
      </c>
      <c r="E372">
        <v>5.17</v>
      </c>
    </row>
    <row r="373" spans="1:5" x14ac:dyDescent="0.35">
      <c r="A373" t="s">
        <v>594</v>
      </c>
      <c r="B373" t="s">
        <v>147</v>
      </c>
      <c r="C373" s="1">
        <v>45771.343007002317</v>
      </c>
      <c r="D373" t="s">
        <v>13</v>
      </c>
      <c r="E373">
        <v>11.84</v>
      </c>
    </row>
    <row r="374" spans="1:5" x14ac:dyDescent="0.35">
      <c r="A374" t="s">
        <v>595</v>
      </c>
      <c r="B374" t="s">
        <v>528</v>
      </c>
      <c r="C374" s="1">
        <v>45634.343007002317</v>
      </c>
      <c r="D374" t="s">
        <v>10</v>
      </c>
      <c r="E374">
        <v>14.04</v>
      </c>
    </row>
    <row r="375" spans="1:5" x14ac:dyDescent="0.35">
      <c r="A375" t="s">
        <v>596</v>
      </c>
      <c r="B375" t="s">
        <v>66</v>
      </c>
      <c r="C375" s="1">
        <v>45765.343007002317</v>
      </c>
      <c r="D375" t="s">
        <v>10</v>
      </c>
      <c r="E375">
        <v>17.64</v>
      </c>
    </row>
    <row r="376" spans="1:5" x14ac:dyDescent="0.35">
      <c r="A376" t="s">
        <v>597</v>
      </c>
      <c r="B376" t="s">
        <v>248</v>
      </c>
      <c r="C376" s="1">
        <v>45842.343007002317</v>
      </c>
      <c r="D376" t="s">
        <v>10</v>
      </c>
      <c r="E376">
        <v>12.5</v>
      </c>
    </row>
    <row r="377" spans="1:5" x14ac:dyDescent="0.35">
      <c r="A377" t="s">
        <v>598</v>
      </c>
      <c r="B377" t="s">
        <v>380</v>
      </c>
      <c r="C377" s="1">
        <v>45621.343007002317</v>
      </c>
      <c r="D377" t="s">
        <v>7</v>
      </c>
      <c r="E377">
        <v>46.89</v>
      </c>
    </row>
    <row r="378" spans="1:5" x14ac:dyDescent="0.35">
      <c r="A378" t="s">
        <v>599</v>
      </c>
      <c r="B378" t="s">
        <v>49</v>
      </c>
      <c r="C378" s="1">
        <v>45950.343007002317</v>
      </c>
      <c r="D378" t="s">
        <v>13</v>
      </c>
      <c r="E378">
        <v>13.57</v>
      </c>
    </row>
    <row r="379" spans="1:5" x14ac:dyDescent="0.35">
      <c r="A379" t="s">
        <v>600</v>
      </c>
      <c r="B379" t="s">
        <v>601</v>
      </c>
      <c r="C379" s="1">
        <v>45901.343007002317</v>
      </c>
      <c r="D379" t="s">
        <v>7</v>
      </c>
      <c r="E379">
        <v>34.08</v>
      </c>
    </row>
    <row r="380" spans="1:5" x14ac:dyDescent="0.35">
      <c r="A380" t="s">
        <v>602</v>
      </c>
      <c r="B380" t="s">
        <v>303</v>
      </c>
      <c r="C380" s="1">
        <v>45608.343007002317</v>
      </c>
      <c r="D380" t="s">
        <v>7</v>
      </c>
      <c r="E380">
        <v>41.04</v>
      </c>
    </row>
    <row r="381" spans="1:5" x14ac:dyDescent="0.35">
      <c r="A381" t="s">
        <v>603</v>
      </c>
      <c r="B381" t="s">
        <v>398</v>
      </c>
      <c r="C381" s="1">
        <v>45911.343007002317</v>
      </c>
      <c r="D381" t="s">
        <v>16</v>
      </c>
      <c r="E381">
        <v>11.47</v>
      </c>
    </row>
    <row r="382" spans="1:5" x14ac:dyDescent="0.35">
      <c r="A382" t="s">
        <v>604</v>
      </c>
      <c r="B382" t="s">
        <v>378</v>
      </c>
      <c r="C382" s="1">
        <v>45908.343007002317</v>
      </c>
      <c r="D382" t="s">
        <v>50</v>
      </c>
      <c r="E382">
        <v>5.14</v>
      </c>
    </row>
    <row r="383" spans="1:5" x14ac:dyDescent="0.35">
      <c r="A383" t="s">
        <v>605</v>
      </c>
      <c r="B383" t="s">
        <v>606</v>
      </c>
      <c r="C383" s="1">
        <v>45631.343007002317</v>
      </c>
      <c r="D383" t="s">
        <v>50</v>
      </c>
      <c r="E383">
        <v>5.81</v>
      </c>
    </row>
    <row r="384" spans="1:5" x14ac:dyDescent="0.35">
      <c r="A384" t="s">
        <v>607</v>
      </c>
      <c r="B384" t="s">
        <v>35</v>
      </c>
      <c r="C384" s="1">
        <v>45768.343007002317</v>
      </c>
      <c r="D384" t="s">
        <v>29</v>
      </c>
      <c r="E384">
        <v>29.43</v>
      </c>
    </row>
    <row r="385" spans="1:5" x14ac:dyDescent="0.35">
      <c r="A385" t="s">
        <v>608</v>
      </c>
      <c r="B385" t="s">
        <v>96</v>
      </c>
      <c r="C385" s="1">
        <v>45615.343007002317</v>
      </c>
      <c r="D385" t="s">
        <v>7</v>
      </c>
      <c r="E385">
        <v>38.76</v>
      </c>
    </row>
    <row r="386" spans="1:5" x14ac:dyDescent="0.35">
      <c r="A386" t="s">
        <v>609</v>
      </c>
      <c r="B386" t="s">
        <v>157</v>
      </c>
      <c r="C386" s="1">
        <v>45916.343007002317</v>
      </c>
      <c r="D386" t="s">
        <v>13</v>
      </c>
      <c r="E386">
        <v>11.41</v>
      </c>
    </row>
    <row r="387" spans="1:5" x14ac:dyDescent="0.35">
      <c r="A387" t="s">
        <v>610</v>
      </c>
      <c r="B387" t="s">
        <v>272</v>
      </c>
      <c r="C387" s="1">
        <v>45859.343007002317</v>
      </c>
      <c r="D387" t="s">
        <v>16</v>
      </c>
      <c r="E387">
        <v>11.75</v>
      </c>
    </row>
    <row r="388" spans="1:5" x14ac:dyDescent="0.35">
      <c r="A388" t="s">
        <v>611</v>
      </c>
      <c r="B388" t="s">
        <v>555</v>
      </c>
      <c r="C388" s="1">
        <v>45737.343007002317</v>
      </c>
      <c r="D388" t="s">
        <v>16</v>
      </c>
      <c r="E388">
        <v>10.7</v>
      </c>
    </row>
    <row r="389" spans="1:5" x14ac:dyDescent="0.35">
      <c r="A389" t="s">
        <v>612</v>
      </c>
      <c r="B389" t="s">
        <v>396</v>
      </c>
      <c r="C389" s="1">
        <v>45738.343007002317</v>
      </c>
      <c r="D389" t="s">
        <v>50</v>
      </c>
      <c r="E389">
        <v>4.2300000000000004</v>
      </c>
    </row>
    <row r="390" spans="1:5" x14ac:dyDescent="0.35">
      <c r="A390" t="s">
        <v>613</v>
      </c>
      <c r="B390" t="s">
        <v>460</v>
      </c>
      <c r="C390" s="1">
        <v>45687.343007002317</v>
      </c>
      <c r="D390" t="s">
        <v>7</v>
      </c>
      <c r="E390">
        <v>32.68</v>
      </c>
    </row>
    <row r="391" spans="1:5" x14ac:dyDescent="0.35">
      <c r="A391" t="s">
        <v>614</v>
      </c>
      <c r="B391" t="s">
        <v>337</v>
      </c>
      <c r="C391" s="1">
        <v>45949.343007002317</v>
      </c>
      <c r="D391" t="s">
        <v>29</v>
      </c>
      <c r="E391">
        <v>25.65</v>
      </c>
    </row>
    <row r="392" spans="1:5" x14ac:dyDescent="0.35">
      <c r="A392" t="s">
        <v>615</v>
      </c>
      <c r="B392" t="s">
        <v>213</v>
      </c>
      <c r="C392" s="1">
        <v>45917.343007002317</v>
      </c>
      <c r="D392" t="s">
        <v>7</v>
      </c>
      <c r="E392">
        <v>46.88</v>
      </c>
    </row>
    <row r="393" spans="1:5" x14ac:dyDescent="0.35">
      <c r="A393" t="s">
        <v>616</v>
      </c>
      <c r="B393" t="s">
        <v>209</v>
      </c>
      <c r="C393" s="1">
        <v>45883.343007002317</v>
      </c>
      <c r="D393" t="s">
        <v>10</v>
      </c>
      <c r="E393">
        <v>17.07</v>
      </c>
    </row>
    <row r="394" spans="1:5" x14ac:dyDescent="0.35">
      <c r="A394" t="s">
        <v>617</v>
      </c>
      <c r="B394" t="s">
        <v>618</v>
      </c>
      <c r="C394" s="1">
        <v>45810.343007002317</v>
      </c>
      <c r="D394" t="s">
        <v>7</v>
      </c>
      <c r="E394">
        <v>42.81</v>
      </c>
    </row>
    <row r="395" spans="1:5" x14ac:dyDescent="0.35">
      <c r="A395" t="s">
        <v>619</v>
      </c>
      <c r="B395" t="s">
        <v>118</v>
      </c>
      <c r="C395" s="1">
        <v>45937.343007002317</v>
      </c>
      <c r="D395" t="s">
        <v>10</v>
      </c>
      <c r="E395">
        <v>12.83</v>
      </c>
    </row>
    <row r="396" spans="1:5" x14ac:dyDescent="0.35">
      <c r="A396" t="s">
        <v>620</v>
      </c>
      <c r="B396" t="s">
        <v>128</v>
      </c>
      <c r="C396" s="1">
        <v>45646.343007002317</v>
      </c>
      <c r="D396" t="s">
        <v>10</v>
      </c>
      <c r="E396">
        <v>13.53</v>
      </c>
    </row>
    <row r="397" spans="1:5" x14ac:dyDescent="0.35">
      <c r="A397" t="s">
        <v>621</v>
      </c>
      <c r="B397" t="s">
        <v>454</v>
      </c>
      <c r="C397" s="1">
        <v>45748.343007002317</v>
      </c>
      <c r="D397" t="s">
        <v>29</v>
      </c>
      <c r="E397">
        <v>28.76</v>
      </c>
    </row>
    <row r="398" spans="1:5" x14ac:dyDescent="0.35">
      <c r="A398" t="s">
        <v>622</v>
      </c>
      <c r="B398" t="s">
        <v>205</v>
      </c>
      <c r="C398" s="1">
        <v>45781.343007002317</v>
      </c>
      <c r="D398" t="s">
        <v>13</v>
      </c>
      <c r="E398">
        <v>10.48</v>
      </c>
    </row>
    <row r="399" spans="1:5" x14ac:dyDescent="0.35">
      <c r="A399" t="s">
        <v>623</v>
      </c>
      <c r="B399" t="s">
        <v>9</v>
      </c>
      <c r="C399" s="1">
        <v>45658.343007002317</v>
      </c>
      <c r="D399" t="s">
        <v>50</v>
      </c>
      <c r="E399">
        <v>4.5599999999999996</v>
      </c>
    </row>
    <row r="400" spans="1:5" x14ac:dyDescent="0.35">
      <c r="A400" t="s">
        <v>624</v>
      </c>
      <c r="B400" t="s">
        <v>590</v>
      </c>
      <c r="C400" s="1">
        <v>45785.343007002317</v>
      </c>
      <c r="D400" t="s">
        <v>7</v>
      </c>
      <c r="E400">
        <v>34.07</v>
      </c>
    </row>
    <row r="401" spans="1:5" x14ac:dyDescent="0.35">
      <c r="A401" t="s">
        <v>625</v>
      </c>
      <c r="B401" t="s">
        <v>555</v>
      </c>
      <c r="C401" s="1">
        <v>45720.343007002317</v>
      </c>
      <c r="D401" t="s">
        <v>10</v>
      </c>
      <c r="E401">
        <v>16.059999999999999</v>
      </c>
    </row>
    <row r="402" spans="1:5" x14ac:dyDescent="0.35">
      <c r="A402" t="s">
        <v>626</v>
      </c>
      <c r="B402" t="s">
        <v>519</v>
      </c>
      <c r="C402" s="1">
        <v>45745.343007002317</v>
      </c>
      <c r="D402" t="s">
        <v>7</v>
      </c>
      <c r="E402">
        <v>47.1</v>
      </c>
    </row>
    <row r="403" spans="1:5" x14ac:dyDescent="0.35">
      <c r="A403" t="s">
        <v>627</v>
      </c>
      <c r="B403" t="s">
        <v>628</v>
      </c>
      <c r="C403" s="1">
        <v>45909.343007002317</v>
      </c>
      <c r="D403" t="s">
        <v>13</v>
      </c>
      <c r="E403">
        <v>10.89</v>
      </c>
    </row>
    <row r="404" spans="1:5" x14ac:dyDescent="0.35">
      <c r="A404" t="s">
        <v>629</v>
      </c>
      <c r="B404" t="s">
        <v>471</v>
      </c>
      <c r="C404" s="1">
        <v>45653.343007002317</v>
      </c>
      <c r="D404" t="s">
        <v>50</v>
      </c>
      <c r="E404">
        <v>4.95</v>
      </c>
    </row>
    <row r="405" spans="1:5" x14ac:dyDescent="0.35">
      <c r="A405" t="s">
        <v>630</v>
      </c>
      <c r="B405" t="s">
        <v>268</v>
      </c>
      <c r="C405" s="1">
        <v>45937.343007002317</v>
      </c>
      <c r="D405" t="s">
        <v>13</v>
      </c>
      <c r="E405">
        <v>12.64</v>
      </c>
    </row>
    <row r="406" spans="1:5" x14ac:dyDescent="0.35">
      <c r="A406" t="s">
        <v>631</v>
      </c>
      <c r="B406" t="s">
        <v>351</v>
      </c>
      <c r="C406" s="1">
        <v>45900.343007002317</v>
      </c>
      <c r="D406" t="s">
        <v>50</v>
      </c>
      <c r="E406">
        <v>6</v>
      </c>
    </row>
    <row r="407" spans="1:5" x14ac:dyDescent="0.35">
      <c r="A407" t="s">
        <v>632</v>
      </c>
      <c r="B407" t="s">
        <v>633</v>
      </c>
      <c r="C407" s="1">
        <v>45775.343007002317</v>
      </c>
      <c r="D407" t="s">
        <v>16</v>
      </c>
      <c r="E407">
        <v>8.42</v>
      </c>
    </row>
    <row r="408" spans="1:5" x14ac:dyDescent="0.35">
      <c r="A408" t="s">
        <v>634</v>
      </c>
      <c r="B408" t="s">
        <v>202</v>
      </c>
      <c r="C408" s="1">
        <v>45765.343007002317</v>
      </c>
      <c r="D408" t="s">
        <v>50</v>
      </c>
      <c r="E408">
        <v>5</v>
      </c>
    </row>
    <row r="409" spans="1:5" x14ac:dyDescent="0.35">
      <c r="A409" t="s">
        <v>635</v>
      </c>
      <c r="B409" t="s">
        <v>636</v>
      </c>
      <c r="C409" s="1">
        <v>45921.343007002317</v>
      </c>
      <c r="D409" t="s">
        <v>29</v>
      </c>
      <c r="E409">
        <v>23.85</v>
      </c>
    </row>
    <row r="410" spans="1:5" x14ac:dyDescent="0.35">
      <c r="A410" t="s">
        <v>637</v>
      </c>
      <c r="B410" t="s">
        <v>368</v>
      </c>
      <c r="C410" s="1">
        <v>45866.343007002317</v>
      </c>
      <c r="D410" t="s">
        <v>13</v>
      </c>
      <c r="E410">
        <v>13.76</v>
      </c>
    </row>
    <row r="411" spans="1:5" x14ac:dyDescent="0.35">
      <c r="A411" t="s">
        <v>638</v>
      </c>
      <c r="B411" t="s">
        <v>519</v>
      </c>
      <c r="C411" s="1">
        <v>45649.343007002317</v>
      </c>
      <c r="D411" t="s">
        <v>10</v>
      </c>
      <c r="E411">
        <v>14.86</v>
      </c>
    </row>
    <row r="412" spans="1:5" x14ac:dyDescent="0.35">
      <c r="A412" t="s">
        <v>639</v>
      </c>
      <c r="B412" t="s">
        <v>118</v>
      </c>
      <c r="C412" s="1">
        <v>45696.343007002317</v>
      </c>
      <c r="D412" t="s">
        <v>16</v>
      </c>
      <c r="E412">
        <v>8.44</v>
      </c>
    </row>
    <row r="413" spans="1:5" x14ac:dyDescent="0.35">
      <c r="A413" t="s">
        <v>640</v>
      </c>
      <c r="B413" t="s">
        <v>225</v>
      </c>
      <c r="C413" s="1">
        <v>45859.343007002317</v>
      </c>
      <c r="D413" t="s">
        <v>29</v>
      </c>
      <c r="E413">
        <v>26.34</v>
      </c>
    </row>
    <row r="414" spans="1:5" x14ac:dyDescent="0.35">
      <c r="A414" t="s">
        <v>641</v>
      </c>
      <c r="B414" t="s">
        <v>642</v>
      </c>
      <c r="C414" s="1">
        <v>45648.343007002317</v>
      </c>
      <c r="D414" t="s">
        <v>7</v>
      </c>
      <c r="E414">
        <v>44.33</v>
      </c>
    </row>
    <row r="415" spans="1:5" x14ac:dyDescent="0.35">
      <c r="A415" t="s">
        <v>643</v>
      </c>
      <c r="B415" t="s">
        <v>47</v>
      </c>
      <c r="C415" s="1">
        <v>45655.343007002317</v>
      </c>
      <c r="D415" t="s">
        <v>13</v>
      </c>
      <c r="E415">
        <v>9.61</v>
      </c>
    </row>
    <row r="416" spans="1:5" x14ac:dyDescent="0.35">
      <c r="A416" t="s">
        <v>644</v>
      </c>
      <c r="B416" t="s">
        <v>645</v>
      </c>
      <c r="C416" s="1">
        <v>45703.343007002317</v>
      </c>
      <c r="D416" t="s">
        <v>10</v>
      </c>
      <c r="E416">
        <v>17.149999999999999</v>
      </c>
    </row>
    <row r="417" spans="1:5" x14ac:dyDescent="0.35">
      <c r="A417" t="s">
        <v>646</v>
      </c>
      <c r="B417" t="s">
        <v>647</v>
      </c>
      <c r="C417" s="1">
        <v>45600.343007002317</v>
      </c>
      <c r="D417" t="s">
        <v>50</v>
      </c>
      <c r="E417">
        <v>4.37</v>
      </c>
    </row>
    <row r="418" spans="1:5" x14ac:dyDescent="0.35">
      <c r="A418" t="s">
        <v>648</v>
      </c>
      <c r="B418" t="s">
        <v>47</v>
      </c>
      <c r="C418" s="1">
        <v>45698.343007002317</v>
      </c>
      <c r="D418" t="s">
        <v>10</v>
      </c>
      <c r="E418">
        <v>15.31</v>
      </c>
    </row>
    <row r="419" spans="1:5" x14ac:dyDescent="0.35">
      <c r="A419" t="s">
        <v>649</v>
      </c>
      <c r="B419" t="s">
        <v>359</v>
      </c>
      <c r="C419" s="1">
        <v>45791.343007002317</v>
      </c>
      <c r="D419" t="s">
        <v>7</v>
      </c>
      <c r="E419">
        <v>38.65</v>
      </c>
    </row>
    <row r="420" spans="1:5" x14ac:dyDescent="0.35">
      <c r="A420" t="s">
        <v>650</v>
      </c>
      <c r="B420" t="s">
        <v>340</v>
      </c>
      <c r="C420" s="1">
        <v>45857.343007002317</v>
      </c>
      <c r="D420" t="s">
        <v>16</v>
      </c>
      <c r="E420">
        <v>10.88</v>
      </c>
    </row>
    <row r="421" spans="1:5" x14ac:dyDescent="0.35">
      <c r="A421" t="s">
        <v>651</v>
      </c>
      <c r="B421" t="s">
        <v>652</v>
      </c>
      <c r="C421" s="1">
        <v>45960.343007002317</v>
      </c>
      <c r="D421" t="s">
        <v>16</v>
      </c>
      <c r="E421">
        <v>9.48</v>
      </c>
    </row>
    <row r="422" spans="1:5" x14ac:dyDescent="0.35">
      <c r="A422" t="s">
        <v>653</v>
      </c>
      <c r="B422" t="s">
        <v>279</v>
      </c>
      <c r="C422" s="1">
        <v>45945.343007002317</v>
      </c>
      <c r="D422" t="s">
        <v>13</v>
      </c>
      <c r="E422">
        <v>13.77</v>
      </c>
    </row>
    <row r="423" spans="1:5" x14ac:dyDescent="0.35">
      <c r="A423" t="s">
        <v>654</v>
      </c>
      <c r="B423" t="s">
        <v>655</v>
      </c>
      <c r="C423" s="1">
        <v>45642.343007002317</v>
      </c>
      <c r="D423" t="s">
        <v>16</v>
      </c>
      <c r="E423">
        <v>10.92</v>
      </c>
    </row>
    <row r="424" spans="1:5" x14ac:dyDescent="0.35">
      <c r="A424" t="s">
        <v>656</v>
      </c>
      <c r="B424" t="s">
        <v>657</v>
      </c>
      <c r="C424" s="1">
        <v>45950.343007002317</v>
      </c>
      <c r="D424" t="s">
        <v>13</v>
      </c>
      <c r="E424">
        <v>12.71</v>
      </c>
    </row>
    <row r="425" spans="1:5" x14ac:dyDescent="0.35">
      <c r="A425" t="s">
        <v>658</v>
      </c>
      <c r="B425" t="s">
        <v>309</v>
      </c>
      <c r="C425" s="1">
        <v>45906.343007002317</v>
      </c>
      <c r="D425" t="s">
        <v>13</v>
      </c>
      <c r="E425">
        <v>13.42</v>
      </c>
    </row>
    <row r="426" spans="1:5" x14ac:dyDescent="0.35">
      <c r="A426" t="s">
        <v>659</v>
      </c>
      <c r="B426" t="s">
        <v>465</v>
      </c>
      <c r="C426" s="1">
        <v>45903.343007002317</v>
      </c>
      <c r="D426" t="s">
        <v>13</v>
      </c>
      <c r="E426">
        <v>13.22</v>
      </c>
    </row>
    <row r="427" spans="1:5" x14ac:dyDescent="0.35">
      <c r="A427" t="s">
        <v>660</v>
      </c>
      <c r="B427" t="s">
        <v>213</v>
      </c>
      <c r="C427" s="1">
        <v>45739.343007002317</v>
      </c>
      <c r="D427" t="s">
        <v>50</v>
      </c>
      <c r="E427">
        <v>4.07</v>
      </c>
    </row>
    <row r="428" spans="1:5" x14ac:dyDescent="0.35">
      <c r="A428" t="s">
        <v>661</v>
      </c>
      <c r="B428" t="s">
        <v>110</v>
      </c>
      <c r="C428" s="1">
        <v>45864.343007002317</v>
      </c>
      <c r="D428" t="s">
        <v>29</v>
      </c>
      <c r="E428">
        <v>23.95</v>
      </c>
    </row>
    <row r="429" spans="1:5" x14ac:dyDescent="0.35">
      <c r="A429" t="s">
        <v>662</v>
      </c>
      <c r="B429" t="s">
        <v>500</v>
      </c>
      <c r="C429" s="1">
        <v>45719.343007002317</v>
      </c>
      <c r="D429" t="s">
        <v>13</v>
      </c>
      <c r="E429">
        <v>14.07</v>
      </c>
    </row>
    <row r="430" spans="1:5" x14ac:dyDescent="0.35">
      <c r="A430" t="s">
        <v>663</v>
      </c>
      <c r="B430" t="s">
        <v>537</v>
      </c>
      <c r="C430" s="1">
        <v>45701.343007002317</v>
      </c>
      <c r="D430" t="s">
        <v>13</v>
      </c>
      <c r="E430">
        <v>10.199999999999999</v>
      </c>
    </row>
    <row r="431" spans="1:5" x14ac:dyDescent="0.35">
      <c r="A431" t="s">
        <v>664</v>
      </c>
      <c r="B431" t="s">
        <v>665</v>
      </c>
      <c r="C431" s="1">
        <v>45753.343007002317</v>
      </c>
      <c r="D431" t="s">
        <v>29</v>
      </c>
      <c r="E431">
        <v>27.37</v>
      </c>
    </row>
    <row r="432" spans="1:5" x14ac:dyDescent="0.35">
      <c r="A432" t="s">
        <v>666</v>
      </c>
      <c r="B432" t="s">
        <v>514</v>
      </c>
      <c r="C432" s="1">
        <v>45742.343007002317</v>
      </c>
      <c r="D432" t="s">
        <v>10</v>
      </c>
      <c r="E432">
        <v>17.850000000000001</v>
      </c>
    </row>
    <row r="433" spans="1:5" x14ac:dyDescent="0.35">
      <c r="A433" t="s">
        <v>667</v>
      </c>
      <c r="B433" t="s">
        <v>213</v>
      </c>
      <c r="C433" s="1">
        <v>45740.343007002317</v>
      </c>
      <c r="D433" t="s">
        <v>13</v>
      </c>
      <c r="E433">
        <v>9.85</v>
      </c>
    </row>
    <row r="434" spans="1:5" x14ac:dyDescent="0.35">
      <c r="A434" t="s">
        <v>668</v>
      </c>
      <c r="B434" t="s">
        <v>546</v>
      </c>
      <c r="C434" s="1">
        <v>45715.343007002317</v>
      </c>
      <c r="D434" t="s">
        <v>50</v>
      </c>
      <c r="E434">
        <v>5.36</v>
      </c>
    </row>
    <row r="435" spans="1:5" x14ac:dyDescent="0.35">
      <c r="A435" t="s">
        <v>669</v>
      </c>
      <c r="B435" t="s">
        <v>120</v>
      </c>
      <c r="C435" s="1">
        <v>45914.343007002317</v>
      </c>
      <c r="D435" t="s">
        <v>16</v>
      </c>
      <c r="E435">
        <v>9.8699999999999992</v>
      </c>
    </row>
    <row r="436" spans="1:5" x14ac:dyDescent="0.35">
      <c r="A436" t="s">
        <v>670</v>
      </c>
      <c r="B436" t="s">
        <v>92</v>
      </c>
      <c r="C436" s="1">
        <v>45870.343007002317</v>
      </c>
      <c r="D436" t="s">
        <v>16</v>
      </c>
      <c r="E436">
        <v>10.32</v>
      </c>
    </row>
    <row r="437" spans="1:5" x14ac:dyDescent="0.35">
      <c r="A437" t="s">
        <v>671</v>
      </c>
      <c r="B437" t="s">
        <v>192</v>
      </c>
      <c r="C437" s="1">
        <v>45687.343007002317</v>
      </c>
      <c r="D437" t="s">
        <v>7</v>
      </c>
      <c r="E437">
        <v>33.369999999999997</v>
      </c>
    </row>
    <row r="438" spans="1:5" x14ac:dyDescent="0.35">
      <c r="A438" t="s">
        <v>672</v>
      </c>
      <c r="B438" t="s">
        <v>80</v>
      </c>
      <c r="C438" s="1">
        <v>45653.343007002317</v>
      </c>
      <c r="D438" t="s">
        <v>7</v>
      </c>
      <c r="E438">
        <v>32.69</v>
      </c>
    </row>
    <row r="439" spans="1:5" x14ac:dyDescent="0.35">
      <c r="A439" t="s">
        <v>673</v>
      </c>
      <c r="B439" t="s">
        <v>418</v>
      </c>
      <c r="C439" s="1">
        <v>45941.343007002317</v>
      </c>
      <c r="D439" t="s">
        <v>16</v>
      </c>
      <c r="E439">
        <v>10.67</v>
      </c>
    </row>
    <row r="440" spans="1:5" x14ac:dyDescent="0.35">
      <c r="A440" t="s">
        <v>674</v>
      </c>
      <c r="B440" t="s">
        <v>110</v>
      </c>
      <c r="C440" s="1">
        <v>45824.343007002317</v>
      </c>
      <c r="D440" t="s">
        <v>16</v>
      </c>
      <c r="E440">
        <v>11.29</v>
      </c>
    </row>
    <row r="441" spans="1:5" x14ac:dyDescent="0.35">
      <c r="A441" t="s">
        <v>675</v>
      </c>
      <c r="B441" t="s">
        <v>592</v>
      </c>
      <c r="C441" s="1">
        <v>45712.343007002317</v>
      </c>
      <c r="D441" t="s">
        <v>50</v>
      </c>
      <c r="E441">
        <v>5.56</v>
      </c>
    </row>
    <row r="442" spans="1:5" x14ac:dyDescent="0.35">
      <c r="A442" t="s">
        <v>676</v>
      </c>
      <c r="B442" t="s">
        <v>677</v>
      </c>
      <c r="C442" s="1">
        <v>45913.343007002317</v>
      </c>
      <c r="D442" t="s">
        <v>29</v>
      </c>
      <c r="E442">
        <v>25.44</v>
      </c>
    </row>
    <row r="443" spans="1:5" x14ac:dyDescent="0.35">
      <c r="A443" t="s">
        <v>678</v>
      </c>
      <c r="B443" t="s">
        <v>679</v>
      </c>
      <c r="C443" s="1">
        <v>45874.343007002317</v>
      </c>
      <c r="D443" t="s">
        <v>7</v>
      </c>
      <c r="E443">
        <v>33.6</v>
      </c>
    </row>
    <row r="444" spans="1:5" x14ac:dyDescent="0.35">
      <c r="A444" t="s">
        <v>680</v>
      </c>
      <c r="B444" t="s">
        <v>429</v>
      </c>
      <c r="C444" s="1">
        <v>45722.343007002317</v>
      </c>
      <c r="D444" t="s">
        <v>29</v>
      </c>
      <c r="E444">
        <v>26.88</v>
      </c>
    </row>
    <row r="445" spans="1:5" x14ac:dyDescent="0.35">
      <c r="A445" t="s">
        <v>681</v>
      </c>
      <c r="B445" t="s">
        <v>682</v>
      </c>
      <c r="C445" s="1">
        <v>45724.343007002317</v>
      </c>
      <c r="D445" t="s">
        <v>50</v>
      </c>
      <c r="E445">
        <v>4.4800000000000004</v>
      </c>
    </row>
    <row r="446" spans="1:5" x14ac:dyDescent="0.35">
      <c r="A446" t="s">
        <v>683</v>
      </c>
      <c r="B446" t="s">
        <v>190</v>
      </c>
      <c r="C446" s="1">
        <v>45653.343007002317</v>
      </c>
      <c r="D446" t="s">
        <v>16</v>
      </c>
      <c r="E446">
        <v>11.64</v>
      </c>
    </row>
    <row r="447" spans="1:5" x14ac:dyDescent="0.35">
      <c r="A447" t="s">
        <v>684</v>
      </c>
      <c r="B447" t="s">
        <v>106</v>
      </c>
      <c r="C447" s="1">
        <v>45717.343007002317</v>
      </c>
      <c r="D447" t="s">
        <v>13</v>
      </c>
      <c r="E447">
        <v>13.62</v>
      </c>
    </row>
    <row r="448" spans="1:5" x14ac:dyDescent="0.35">
      <c r="A448" t="s">
        <v>685</v>
      </c>
      <c r="B448" t="s">
        <v>179</v>
      </c>
      <c r="C448" s="1">
        <v>45596.343007002317</v>
      </c>
      <c r="D448" t="s">
        <v>29</v>
      </c>
      <c r="E448">
        <v>27.09</v>
      </c>
    </row>
    <row r="449" spans="1:5" x14ac:dyDescent="0.35">
      <c r="A449" t="s">
        <v>686</v>
      </c>
      <c r="B449" t="s">
        <v>687</v>
      </c>
      <c r="C449" s="1">
        <v>45834.343007002317</v>
      </c>
      <c r="D449" t="s">
        <v>16</v>
      </c>
      <c r="E449">
        <v>11.8</v>
      </c>
    </row>
    <row r="450" spans="1:5" x14ac:dyDescent="0.35">
      <c r="A450" t="s">
        <v>688</v>
      </c>
      <c r="B450" t="s">
        <v>418</v>
      </c>
      <c r="C450" s="1">
        <v>45885.343007002317</v>
      </c>
      <c r="D450" t="s">
        <v>16</v>
      </c>
      <c r="E450">
        <v>8.1300000000000008</v>
      </c>
    </row>
    <row r="451" spans="1:5" x14ac:dyDescent="0.35">
      <c r="A451" t="s">
        <v>689</v>
      </c>
      <c r="B451" t="s">
        <v>200</v>
      </c>
      <c r="C451" s="1">
        <v>45691.343007002317</v>
      </c>
      <c r="D451" t="s">
        <v>10</v>
      </c>
      <c r="E451">
        <v>16.420000000000002</v>
      </c>
    </row>
    <row r="452" spans="1:5" x14ac:dyDescent="0.35">
      <c r="A452" t="s">
        <v>690</v>
      </c>
      <c r="B452" t="s">
        <v>691</v>
      </c>
      <c r="C452" s="1">
        <v>45721.343007002317</v>
      </c>
      <c r="D452" t="s">
        <v>29</v>
      </c>
      <c r="E452">
        <v>23.3</v>
      </c>
    </row>
    <row r="453" spans="1:5" x14ac:dyDescent="0.35">
      <c r="A453" t="s">
        <v>692</v>
      </c>
      <c r="B453" t="s">
        <v>6</v>
      </c>
      <c r="C453" s="1">
        <v>45713.343007002317</v>
      </c>
      <c r="D453" t="s">
        <v>13</v>
      </c>
      <c r="E453">
        <v>13.95</v>
      </c>
    </row>
    <row r="454" spans="1:5" x14ac:dyDescent="0.35">
      <c r="A454" t="s">
        <v>693</v>
      </c>
      <c r="B454" t="s">
        <v>694</v>
      </c>
      <c r="C454" s="1">
        <v>45643.343007002317</v>
      </c>
      <c r="D454" t="s">
        <v>29</v>
      </c>
      <c r="E454">
        <v>22.67</v>
      </c>
    </row>
    <row r="455" spans="1:5" x14ac:dyDescent="0.35">
      <c r="A455" t="s">
        <v>695</v>
      </c>
      <c r="B455" t="s">
        <v>76</v>
      </c>
      <c r="C455" s="1">
        <v>45684.343007002317</v>
      </c>
      <c r="D455" t="s">
        <v>16</v>
      </c>
      <c r="E455">
        <v>10.9</v>
      </c>
    </row>
    <row r="456" spans="1:5" x14ac:dyDescent="0.35">
      <c r="A456" t="s">
        <v>696</v>
      </c>
      <c r="B456" t="s">
        <v>18</v>
      </c>
      <c r="C456" s="1">
        <v>45832.343007002317</v>
      </c>
      <c r="D456" t="s">
        <v>13</v>
      </c>
      <c r="E456">
        <v>13.81</v>
      </c>
    </row>
    <row r="457" spans="1:5" x14ac:dyDescent="0.35">
      <c r="A457" t="s">
        <v>697</v>
      </c>
      <c r="B457" t="s">
        <v>355</v>
      </c>
      <c r="C457" s="1">
        <v>45867.343007002317</v>
      </c>
      <c r="D457" t="s">
        <v>50</v>
      </c>
      <c r="E457">
        <v>4.08</v>
      </c>
    </row>
    <row r="458" spans="1:5" x14ac:dyDescent="0.35">
      <c r="A458" t="s">
        <v>698</v>
      </c>
      <c r="B458" t="s">
        <v>171</v>
      </c>
      <c r="C458" s="1">
        <v>45784.343007002317</v>
      </c>
      <c r="D458" t="s">
        <v>10</v>
      </c>
      <c r="E458">
        <v>14.39</v>
      </c>
    </row>
    <row r="459" spans="1:5" x14ac:dyDescent="0.35">
      <c r="A459" t="s">
        <v>699</v>
      </c>
      <c r="B459" t="s">
        <v>303</v>
      </c>
      <c r="C459" s="1">
        <v>45787.343007002317</v>
      </c>
      <c r="D459" t="s">
        <v>16</v>
      </c>
      <c r="E459">
        <v>11.05</v>
      </c>
    </row>
    <row r="460" spans="1:5" x14ac:dyDescent="0.35">
      <c r="A460" t="s">
        <v>700</v>
      </c>
      <c r="B460" t="s">
        <v>279</v>
      </c>
      <c r="C460" s="1">
        <v>45664.343007002317</v>
      </c>
      <c r="D460" t="s">
        <v>7</v>
      </c>
      <c r="E460">
        <v>39.28</v>
      </c>
    </row>
    <row r="461" spans="1:5" x14ac:dyDescent="0.35">
      <c r="A461" t="s">
        <v>701</v>
      </c>
      <c r="B461" t="s">
        <v>439</v>
      </c>
      <c r="C461" s="1">
        <v>45873.343007002317</v>
      </c>
      <c r="D461" t="s">
        <v>7</v>
      </c>
      <c r="E461">
        <v>36.28</v>
      </c>
    </row>
    <row r="462" spans="1:5" x14ac:dyDescent="0.35">
      <c r="A462" t="s">
        <v>702</v>
      </c>
      <c r="B462" t="s">
        <v>703</v>
      </c>
      <c r="C462" s="1">
        <v>45944.343007002317</v>
      </c>
      <c r="D462" t="s">
        <v>10</v>
      </c>
      <c r="E462">
        <v>13.32</v>
      </c>
    </row>
    <row r="463" spans="1:5" x14ac:dyDescent="0.35">
      <c r="A463" t="s">
        <v>704</v>
      </c>
      <c r="B463" t="s">
        <v>411</v>
      </c>
      <c r="C463" s="1">
        <v>45842.343007002317</v>
      </c>
      <c r="D463" t="s">
        <v>50</v>
      </c>
      <c r="E463">
        <v>4.26</v>
      </c>
    </row>
    <row r="464" spans="1:5" x14ac:dyDescent="0.35">
      <c r="A464" t="s">
        <v>705</v>
      </c>
      <c r="B464" t="s">
        <v>691</v>
      </c>
      <c r="C464" s="1">
        <v>45671.343007002317</v>
      </c>
      <c r="D464" t="s">
        <v>16</v>
      </c>
      <c r="E464">
        <v>11.43</v>
      </c>
    </row>
    <row r="465" spans="1:5" x14ac:dyDescent="0.35">
      <c r="A465" t="s">
        <v>706</v>
      </c>
      <c r="B465" t="s">
        <v>546</v>
      </c>
      <c r="C465" s="1">
        <v>45749.343007002317</v>
      </c>
      <c r="D465" t="s">
        <v>29</v>
      </c>
      <c r="E465">
        <v>25.75</v>
      </c>
    </row>
    <row r="466" spans="1:5" x14ac:dyDescent="0.35">
      <c r="A466" t="s">
        <v>707</v>
      </c>
      <c r="B466" t="s">
        <v>12</v>
      </c>
      <c r="C466" s="1">
        <v>45739.343007002317</v>
      </c>
      <c r="D466" t="s">
        <v>10</v>
      </c>
      <c r="E466">
        <v>12.46</v>
      </c>
    </row>
    <row r="467" spans="1:5" x14ac:dyDescent="0.35">
      <c r="A467" t="s">
        <v>708</v>
      </c>
      <c r="B467" t="s">
        <v>80</v>
      </c>
      <c r="C467" s="1">
        <v>45681.343007002317</v>
      </c>
      <c r="D467" t="s">
        <v>50</v>
      </c>
      <c r="E467">
        <v>4.7699999999999996</v>
      </c>
    </row>
    <row r="468" spans="1:5" x14ac:dyDescent="0.35">
      <c r="A468" t="s">
        <v>709</v>
      </c>
      <c r="B468" t="s">
        <v>112</v>
      </c>
      <c r="C468" s="1">
        <v>45780.343007002317</v>
      </c>
      <c r="D468" t="s">
        <v>29</v>
      </c>
      <c r="E468">
        <v>23.68</v>
      </c>
    </row>
    <row r="469" spans="1:5" x14ac:dyDescent="0.35">
      <c r="A469" t="s">
        <v>710</v>
      </c>
      <c r="B469" t="s">
        <v>161</v>
      </c>
      <c r="C469" s="1">
        <v>45880.343007002317</v>
      </c>
      <c r="D469" t="s">
        <v>7</v>
      </c>
      <c r="E469">
        <v>34.909999999999997</v>
      </c>
    </row>
    <row r="470" spans="1:5" x14ac:dyDescent="0.35">
      <c r="A470" t="s">
        <v>711</v>
      </c>
      <c r="B470" t="s">
        <v>655</v>
      </c>
      <c r="C470" s="1">
        <v>45815.343007002317</v>
      </c>
      <c r="D470" t="s">
        <v>7</v>
      </c>
      <c r="E470">
        <v>38.97</v>
      </c>
    </row>
    <row r="471" spans="1:5" x14ac:dyDescent="0.35">
      <c r="A471" t="s">
        <v>712</v>
      </c>
      <c r="B471" t="s">
        <v>713</v>
      </c>
      <c r="C471" s="1">
        <v>45664.343007002317</v>
      </c>
      <c r="D471" t="s">
        <v>29</v>
      </c>
      <c r="E471">
        <v>23.32</v>
      </c>
    </row>
    <row r="472" spans="1:5" x14ac:dyDescent="0.35">
      <c r="A472" t="s">
        <v>714</v>
      </c>
      <c r="B472" t="s">
        <v>519</v>
      </c>
      <c r="C472" s="1">
        <v>45642.343007002317</v>
      </c>
      <c r="D472" t="s">
        <v>10</v>
      </c>
      <c r="E472">
        <v>14.05</v>
      </c>
    </row>
    <row r="473" spans="1:5" x14ac:dyDescent="0.35">
      <c r="A473" t="s">
        <v>715</v>
      </c>
      <c r="B473" t="s">
        <v>633</v>
      </c>
      <c r="C473" s="1">
        <v>45689.343007002317</v>
      </c>
      <c r="D473" t="s">
        <v>7</v>
      </c>
      <c r="E473">
        <v>43.82</v>
      </c>
    </row>
    <row r="474" spans="1:5" x14ac:dyDescent="0.35">
      <c r="A474" t="s">
        <v>716</v>
      </c>
      <c r="B474" t="s">
        <v>374</v>
      </c>
      <c r="C474" s="1">
        <v>45833.343007002317</v>
      </c>
      <c r="D474" t="s">
        <v>16</v>
      </c>
      <c r="E474">
        <v>8.89</v>
      </c>
    </row>
    <row r="475" spans="1:5" x14ac:dyDescent="0.35">
      <c r="A475" t="s">
        <v>717</v>
      </c>
      <c r="B475" t="s">
        <v>84</v>
      </c>
      <c r="C475" s="1">
        <v>45799.343007002317</v>
      </c>
      <c r="D475" t="s">
        <v>13</v>
      </c>
      <c r="E475">
        <v>12.68</v>
      </c>
    </row>
    <row r="476" spans="1:5" x14ac:dyDescent="0.35">
      <c r="A476" t="s">
        <v>718</v>
      </c>
      <c r="B476" t="s">
        <v>719</v>
      </c>
      <c r="C476" s="1">
        <v>45813.343007002317</v>
      </c>
      <c r="D476" t="s">
        <v>29</v>
      </c>
      <c r="E476">
        <v>25.71</v>
      </c>
    </row>
    <row r="477" spans="1:5" x14ac:dyDescent="0.35">
      <c r="A477" t="s">
        <v>720</v>
      </c>
      <c r="B477" t="s">
        <v>460</v>
      </c>
      <c r="C477" s="1">
        <v>45936.343007002317</v>
      </c>
      <c r="D477" t="s">
        <v>29</v>
      </c>
      <c r="E477">
        <v>25.68</v>
      </c>
    </row>
    <row r="478" spans="1:5" x14ac:dyDescent="0.35">
      <c r="A478" t="s">
        <v>721</v>
      </c>
      <c r="B478" t="s">
        <v>62</v>
      </c>
      <c r="C478" s="1">
        <v>45634.343007002317</v>
      </c>
      <c r="D478" t="s">
        <v>7</v>
      </c>
      <c r="E478">
        <v>42.61</v>
      </c>
    </row>
    <row r="479" spans="1:5" x14ac:dyDescent="0.35">
      <c r="A479" t="s">
        <v>722</v>
      </c>
      <c r="B479" t="s">
        <v>723</v>
      </c>
      <c r="C479" s="1">
        <v>45695.343007002317</v>
      </c>
      <c r="D479" t="s">
        <v>10</v>
      </c>
      <c r="E479">
        <v>15.29</v>
      </c>
    </row>
    <row r="480" spans="1:5" x14ac:dyDescent="0.35">
      <c r="A480" t="s">
        <v>724</v>
      </c>
      <c r="B480" t="s">
        <v>151</v>
      </c>
      <c r="C480" s="1">
        <v>45884.343007002317</v>
      </c>
      <c r="D480" t="s">
        <v>16</v>
      </c>
      <c r="E480">
        <v>11.52</v>
      </c>
    </row>
    <row r="481" spans="1:5" x14ac:dyDescent="0.35">
      <c r="A481" t="s">
        <v>725</v>
      </c>
      <c r="B481" t="s">
        <v>225</v>
      </c>
      <c r="C481" s="1">
        <v>45849.343007002317</v>
      </c>
      <c r="D481" t="s">
        <v>10</v>
      </c>
      <c r="E481">
        <v>16.05</v>
      </c>
    </row>
    <row r="482" spans="1:5" x14ac:dyDescent="0.35">
      <c r="A482" t="s">
        <v>726</v>
      </c>
      <c r="B482" t="s">
        <v>49</v>
      </c>
      <c r="C482" s="1">
        <v>45817.343007002317</v>
      </c>
      <c r="D482" t="s">
        <v>50</v>
      </c>
      <c r="E482">
        <v>5.09</v>
      </c>
    </row>
    <row r="483" spans="1:5" x14ac:dyDescent="0.35">
      <c r="A483" t="s">
        <v>727</v>
      </c>
      <c r="B483" t="s">
        <v>407</v>
      </c>
      <c r="C483" s="1">
        <v>45952.343007002317</v>
      </c>
      <c r="D483" t="s">
        <v>50</v>
      </c>
      <c r="E483">
        <v>5.66</v>
      </c>
    </row>
    <row r="484" spans="1:5" x14ac:dyDescent="0.35">
      <c r="A484" t="s">
        <v>728</v>
      </c>
      <c r="B484" t="s">
        <v>418</v>
      </c>
      <c r="C484" s="1">
        <v>45618.343007002317</v>
      </c>
      <c r="D484" t="s">
        <v>13</v>
      </c>
      <c r="E484">
        <v>12.51</v>
      </c>
    </row>
    <row r="485" spans="1:5" x14ac:dyDescent="0.35">
      <c r="A485" t="s">
        <v>729</v>
      </c>
      <c r="B485" t="s">
        <v>628</v>
      </c>
      <c r="C485" s="1">
        <v>45845.343007002317</v>
      </c>
      <c r="D485" t="s">
        <v>7</v>
      </c>
      <c r="E485">
        <v>36.659999999999997</v>
      </c>
    </row>
    <row r="486" spans="1:5" x14ac:dyDescent="0.35">
      <c r="A486" t="s">
        <v>730</v>
      </c>
      <c r="B486" t="s">
        <v>439</v>
      </c>
      <c r="C486" s="1">
        <v>45605.343007002317</v>
      </c>
      <c r="D486" t="s">
        <v>7</v>
      </c>
      <c r="E486">
        <v>35.31</v>
      </c>
    </row>
    <row r="487" spans="1:5" x14ac:dyDescent="0.35">
      <c r="A487" t="s">
        <v>731</v>
      </c>
      <c r="B487" t="s">
        <v>441</v>
      </c>
      <c r="C487" s="1">
        <v>45841.343007002317</v>
      </c>
      <c r="D487" t="s">
        <v>7</v>
      </c>
      <c r="E487">
        <v>34.44</v>
      </c>
    </row>
    <row r="488" spans="1:5" x14ac:dyDescent="0.35">
      <c r="A488" t="s">
        <v>732</v>
      </c>
      <c r="B488" t="s">
        <v>256</v>
      </c>
      <c r="C488" s="1">
        <v>45920.343007002317</v>
      </c>
      <c r="D488" t="s">
        <v>13</v>
      </c>
      <c r="E488">
        <v>13.92</v>
      </c>
    </row>
    <row r="489" spans="1:5" x14ac:dyDescent="0.35">
      <c r="A489" t="s">
        <v>733</v>
      </c>
      <c r="B489" t="s">
        <v>18</v>
      </c>
      <c r="C489" s="1">
        <v>45695.343007002317</v>
      </c>
      <c r="D489" t="s">
        <v>50</v>
      </c>
      <c r="E489">
        <v>5.42</v>
      </c>
    </row>
    <row r="490" spans="1:5" x14ac:dyDescent="0.35">
      <c r="A490" t="s">
        <v>734</v>
      </c>
      <c r="B490" t="s">
        <v>418</v>
      </c>
      <c r="C490" s="1">
        <v>45885.343007002317</v>
      </c>
      <c r="D490" t="s">
        <v>10</v>
      </c>
      <c r="E490">
        <v>17.62</v>
      </c>
    </row>
    <row r="491" spans="1:5" x14ac:dyDescent="0.35">
      <c r="A491" t="s">
        <v>735</v>
      </c>
      <c r="B491" t="s">
        <v>736</v>
      </c>
      <c r="C491" s="1">
        <v>45775.343007002317</v>
      </c>
      <c r="D491" t="s">
        <v>13</v>
      </c>
      <c r="E491">
        <v>12.5</v>
      </c>
    </row>
    <row r="492" spans="1:5" x14ac:dyDescent="0.35">
      <c r="A492" t="s">
        <v>737</v>
      </c>
      <c r="B492" t="s">
        <v>39</v>
      </c>
      <c r="C492" s="1">
        <v>45818.343007002317</v>
      </c>
      <c r="D492" t="s">
        <v>13</v>
      </c>
      <c r="E492">
        <v>11.87</v>
      </c>
    </row>
    <row r="493" spans="1:5" x14ac:dyDescent="0.35">
      <c r="A493" t="s">
        <v>738</v>
      </c>
      <c r="B493" t="s">
        <v>268</v>
      </c>
      <c r="C493" s="1">
        <v>45845.343007002317</v>
      </c>
      <c r="D493" t="s">
        <v>10</v>
      </c>
      <c r="E493">
        <v>12.36</v>
      </c>
    </row>
    <row r="494" spans="1:5" x14ac:dyDescent="0.35">
      <c r="A494" t="s">
        <v>739</v>
      </c>
      <c r="B494" t="s">
        <v>601</v>
      </c>
      <c r="C494" s="1">
        <v>45742.343007002317</v>
      </c>
      <c r="D494" t="s">
        <v>7</v>
      </c>
      <c r="E494">
        <v>42.75</v>
      </c>
    </row>
    <row r="495" spans="1:5" x14ac:dyDescent="0.35">
      <c r="A495" t="s">
        <v>740</v>
      </c>
      <c r="B495" t="s">
        <v>258</v>
      </c>
      <c r="C495" s="1">
        <v>45691.343007002317</v>
      </c>
      <c r="D495" t="s">
        <v>16</v>
      </c>
      <c r="E495">
        <v>10.33</v>
      </c>
    </row>
    <row r="496" spans="1:5" x14ac:dyDescent="0.35">
      <c r="A496" t="s">
        <v>741</v>
      </c>
      <c r="B496" t="s">
        <v>742</v>
      </c>
      <c r="C496" s="1">
        <v>45852.343007002317</v>
      </c>
      <c r="D496" t="s">
        <v>10</v>
      </c>
      <c r="E496">
        <v>17.940000000000001</v>
      </c>
    </row>
    <row r="497" spans="1:5" x14ac:dyDescent="0.35">
      <c r="A497" t="s">
        <v>743</v>
      </c>
      <c r="B497" t="s">
        <v>601</v>
      </c>
      <c r="C497" s="1">
        <v>45920.343007002317</v>
      </c>
      <c r="D497" t="s">
        <v>50</v>
      </c>
      <c r="E497">
        <v>4.4800000000000004</v>
      </c>
    </row>
    <row r="498" spans="1:5" x14ac:dyDescent="0.35">
      <c r="A498" t="s">
        <v>744</v>
      </c>
      <c r="B498" t="s">
        <v>745</v>
      </c>
      <c r="C498" s="1">
        <v>45599.343007002317</v>
      </c>
      <c r="D498" t="s">
        <v>29</v>
      </c>
      <c r="E498">
        <v>25.31</v>
      </c>
    </row>
    <row r="499" spans="1:5" x14ac:dyDescent="0.35">
      <c r="A499" t="s">
        <v>746</v>
      </c>
      <c r="B499" t="s">
        <v>424</v>
      </c>
      <c r="C499" s="1">
        <v>45611.343007002317</v>
      </c>
      <c r="D499" t="s">
        <v>29</v>
      </c>
      <c r="E499">
        <v>26.51</v>
      </c>
    </row>
    <row r="500" spans="1:5" x14ac:dyDescent="0.35">
      <c r="A500" t="s">
        <v>747</v>
      </c>
      <c r="B500" t="s">
        <v>327</v>
      </c>
      <c r="C500" s="1">
        <v>45875.343007002317</v>
      </c>
      <c r="D500" t="s">
        <v>13</v>
      </c>
      <c r="E500">
        <v>12.69</v>
      </c>
    </row>
    <row r="501" spans="1:5" x14ac:dyDescent="0.35">
      <c r="A501" t="s">
        <v>748</v>
      </c>
      <c r="B501" t="s">
        <v>441</v>
      </c>
      <c r="C501" s="1">
        <v>45931.343007002317</v>
      </c>
      <c r="D501" t="s">
        <v>29</v>
      </c>
      <c r="E501">
        <v>25.61</v>
      </c>
    </row>
    <row r="502" spans="1:5" x14ac:dyDescent="0.35">
      <c r="A502" t="s">
        <v>749</v>
      </c>
      <c r="B502" t="s">
        <v>300</v>
      </c>
      <c r="C502" s="1">
        <v>45842.343007002317</v>
      </c>
      <c r="D502" t="s">
        <v>16</v>
      </c>
      <c r="E502">
        <v>11.11</v>
      </c>
    </row>
    <row r="503" spans="1:5" x14ac:dyDescent="0.35">
      <c r="A503" t="s">
        <v>750</v>
      </c>
      <c r="B503" t="s">
        <v>177</v>
      </c>
      <c r="C503" s="1">
        <v>45853.343007002317</v>
      </c>
      <c r="D503" t="s">
        <v>7</v>
      </c>
      <c r="E503">
        <v>35.28</v>
      </c>
    </row>
    <row r="504" spans="1:5" x14ac:dyDescent="0.35">
      <c r="A504" t="s">
        <v>751</v>
      </c>
      <c r="B504" t="s">
        <v>752</v>
      </c>
      <c r="C504" s="1">
        <v>45755.343007002317</v>
      </c>
      <c r="D504" t="s">
        <v>50</v>
      </c>
      <c r="E504">
        <v>5.45</v>
      </c>
    </row>
    <row r="505" spans="1:5" x14ac:dyDescent="0.35">
      <c r="A505" t="s">
        <v>753</v>
      </c>
      <c r="B505" t="s">
        <v>754</v>
      </c>
      <c r="C505" s="1">
        <v>45935.343007002317</v>
      </c>
      <c r="D505" t="s">
        <v>16</v>
      </c>
      <c r="E505">
        <v>10.48</v>
      </c>
    </row>
    <row r="506" spans="1:5" x14ac:dyDescent="0.35">
      <c r="A506" t="s">
        <v>755</v>
      </c>
      <c r="B506" t="s">
        <v>441</v>
      </c>
      <c r="C506" s="1">
        <v>45747.343007002317</v>
      </c>
      <c r="D506" t="s">
        <v>50</v>
      </c>
      <c r="E506">
        <v>5.79</v>
      </c>
    </row>
    <row r="507" spans="1:5" x14ac:dyDescent="0.35">
      <c r="A507" t="s">
        <v>756</v>
      </c>
      <c r="B507" t="s">
        <v>441</v>
      </c>
      <c r="C507" s="1">
        <v>45773.343007002317</v>
      </c>
      <c r="D507" t="s">
        <v>50</v>
      </c>
      <c r="E507">
        <v>5.69</v>
      </c>
    </row>
    <row r="508" spans="1:5" x14ac:dyDescent="0.35">
      <c r="A508" t="s">
        <v>757</v>
      </c>
      <c r="B508" t="s">
        <v>86</v>
      </c>
      <c r="C508" s="1">
        <v>45758.343007002317</v>
      </c>
      <c r="D508" t="s">
        <v>7</v>
      </c>
      <c r="E508">
        <v>37.04</v>
      </c>
    </row>
    <row r="509" spans="1:5" x14ac:dyDescent="0.35">
      <c r="A509" t="s">
        <v>758</v>
      </c>
      <c r="B509" t="s">
        <v>134</v>
      </c>
      <c r="C509" s="1">
        <v>45628.343007002317</v>
      </c>
      <c r="D509" t="s">
        <v>13</v>
      </c>
      <c r="E509">
        <v>10.93</v>
      </c>
    </row>
    <row r="510" spans="1:5" x14ac:dyDescent="0.35">
      <c r="A510" t="s">
        <v>759</v>
      </c>
      <c r="B510" t="s">
        <v>694</v>
      </c>
      <c r="C510" s="1">
        <v>45774.343007002317</v>
      </c>
      <c r="D510" t="s">
        <v>29</v>
      </c>
      <c r="E510">
        <v>29.82</v>
      </c>
    </row>
    <row r="511" spans="1:5" x14ac:dyDescent="0.35">
      <c r="A511" t="s">
        <v>760</v>
      </c>
      <c r="B511" t="s">
        <v>161</v>
      </c>
      <c r="C511" s="1">
        <v>45696.343007002317</v>
      </c>
      <c r="D511" t="s">
        <v>7</v>
      </c>
      <c r="E511">
        <v>40.44</v>
      </c>
    </row>
    <row r="512" spans="1:5" x14ac:dyDescent="0.35">
      <c r="A512" t="s">
        <v>761</v>
      </c>
      <c r="B512" t="s">
        <v>389</v>
      </c>
      <c r="C512" s="1">
        <v>45863.343007002317</v>
      </c>
      <c r="D512" t="s">
        <v>16</v>
      </c>
      <c r="E512">
        <v>11.63</v>
      </c>
    </row>
    <row r="513" spans="1:5" x14ac:dyDescent="0.35">
      <c r="A513" t="s">
        <v>762</v>
      </c>
      <c r="B513" t="s">
        <v>26</v>
      </c>
      <c r="C513" s="1">
        <v>45918.343007002317</v>
      </c>
      <c r="D513" t="s">
        <v>13</v>
      </c>
      <c r="E513">
        <v>10.39</v>
      </c>
    </row>
    <row r="514" spans="1:5" x14ac:dyDescent="0.35">
      <c r="A514" t="s">
        <v>763</v>
      </c>
      <c r="B514" t="s">
        <v>219</v>
      </c>
      <c r="C514" s="1">
        <v>45660.343007002317</v>
      </c>
      <c r="D514" t="s">
        <v>16</v>
      </c>
      <c r="E514">
        <v>10.57</v>
      </c>
    </row>
    <row r="515" spans="1:5" x14ac:dyDescent="0.35">
      <c r="A515" t="s">
        <v>764</v>
      </c>
      <c r="B515" t="s">
        <v>429</v>
      </c>
      <c r="C515" s="1">
        <v>45763.343007002317</v>
      </c>
      <c r="D515" t="s">
        <v>13</v>
      </c>
      <c r="E515">
        <v>13.49</v>
      </c>
    </row>
    <row r="516" spans="1:5" x14ac:dyDescent="0.35">
      <c r="A516" t="s">
        <v>765</v>
      </c>
      <c r="B516" t="s">
        <v>429</v>
      </c>
      <c r="C516" s="1">
        <v>45925.343007002317</v>
      </c>
      <c r="D516" t="s">
        <v>16</v>
      </c>
      <c r="E516">
        <v>11.79</v>
      </c>
    </row>
    <row r="517" spans="1:5" x14ac:dyDescent="0.35">
      <c r="A517" t="s">
        <v>766</v>
      </c>
      <c r="B517" t="s">
        <v>767</v>
      </c>
      <c r="C517" s="1">
        <v>45638.343007002317</v>
      </c>
      <c r="D517" t="s">
        <v>7</v>
      </c>
      <c r="E517">
        <v>37.4</v>
      </c>
    </row>
    <row r="518" spans="1:5" x14ac:dyDescent="0.35">
      <c r="A518" t="s">
        <v>768</v>
      </c>
      <c r="B518" t="s">
        <v>633</v>
      </c>
      <c r="C518" s="1">
        <v>45639.343007002317</v>
      </c>
      <c r="D518" t="s">
        <v>13</v>
      </c>
      <c r="E518">
        <v>13.08</v>
      </c>
    </row>
    <row r="519" spans="1:5" x14ac:dyDescent="0.35">
      <c r="A519" t="s">
        <v>769</v>
      </c>
      <c r="B519" t="s">
        <v>770</v>
      </c>
      <c r="C519" s="1">
        <v>45880.343007002317</v>
      </c>
      <c r="D519" t="s">
        <v>13</v>
      </c>
      <c r="E519">
        <v>12.19</v>
      </c>
    </row>
    <row r="520" spans="1:5" x14ac:dyDescent="0.35">
      <c r="A520" t="s">
        <v>771</v>
      </c>
      <c r="B520" t="s">
        <v>502</v>
      </c>
      <c r="C520" s="1">
        <v>45607.343007002317</v>
      </c>
      <c r="D520" t="s">
        <v>50</v>
      </c>
      <c r="E520">
        <v>4.12</v>
      </c>
    </row>
    <row r="521" spans="1:5" x14ac:dyDescent="0.35">
      <c r="A521" t="s">
        <v>772</v>
      </c>
      <c r="B521" t="s">
        <v>628</v>
      </c>
      <c r="C521" s="1">
        <v>45690.343007002317</v>
      </c>
      <c r="D521" t="s">
        <v>50</v>
      </c>
      <c r="E521">
        <v>5.38</v>
      </c>
    </row>
    <row r="522" spans="1:5" x14ac:dyDescent="0.35">
      <c r="A522" t="s">
        <v>773</v>
      </c>
      <c r="B522" t="s">
        <v>774</v>
      </c>
      <c r="C522" s="1">
        <v>45897.343007002317</v>
      </c>
      <c r="D522" t="s">
        <v>10</v>
      </c>
      <c r="E522">
        <v>16.14</v>
      </c>
    </row>
    <row r="523" spans="1:5" x14ac:dyDescent="0.35">
      <c r="A523" t="s">
        <v>775</v>
      </c>
      <c r="B523" t="s">
        <v>776</v>
      </c>
      <c r="C523" s="1">
        <v>45848.343007002317</v>
      </c>
      <c r="D523" t="s">
        <v>16</v>
      </c>
      <c r="E523">
        <v>11.72</v>
      </c>
    </row>
    <row r="524" spans="1:5" x14ac:dyDescent="0.35">
      <c r="A524" t="s">
        <v>777</v>
      </c>
      <c r="B524" t="s">
        <v>396</v>
      </c>
      <c r="C524" s="1">
        <v>45837.343007002317</v>
      </c>
      <c r="D524" t="s">
        <v>50</v>
      </c>
      <c r="E524">
        <v>4.99</v>
      </c>
    </row>
    <row r="525" spans="1:5" x14ac:dyDescent="0.35">
      <c r="A525" t="s">
        <v>778</v>
      </c>
      <c r="B525" t="s">
        <v>380</v>
      </c>
      <c r="C525" s="1">
        <v>45630.343007002317</v>
      </c>
      <c r="D525" t="s">
        <v>10</v>
      </c>
      <c r="E525">
        <v>13.38</v>
      </c>
    </row>
    <row r="526" spans="1:5" x14ac:dyDescent="0.35">
      <c r="A526" t="s">
        <v>779</v>
      </c>
      <c r="B526" t="s">
        <v>211</v>
      </c>
      <c r="C526" s="1">
        <v>45810.343007002317</v>
      </c>
      <c r="D526" t="s">
        <v>50</v>
      </c>
      <c r="E526">
        <v>4.09</v>
      </c>
    </row>
    <row r="527" spans="1:5" x14ac:dyDescent="0.35">
      <c r="A527" t="s">
        <v>780</v>
      </c>
      <c r="B527" t="s">
        <v>452</v>
      </c>
      <c r="C527" s="1">
        <v>45932.343007002317</v>
      </c>
      <c r="D527" t="s">
        <v>16</v>
      </c>
      <c r="E527">
        <v>9.66</v>
      </c>
    </row>
    <row r="528" spans="1:5" x14ac:dyDescent="0.35">
      <c r="A528" t="s">
        <v>781</v>
      </c>
      <c r="B528" t="s">
        <v>770</v>
      </c>
      <c r="C528" s="1">
        <v>45685.343007002317</v>
      </c>
      <c r="D528" t="s">
        <v>13</v>
      </c>
      <c r="E528">
        <v>11.05</v>
      </c>
    </row>
    <row r="529" spans="1:5" x14ac:dyDescent="0.35">
      <c r="A529" t="s">
        <v>782</v>
      </c>
      <c r="B529" t="s">
        <v>357</v>
      </c>
      <c r="C529" s="1">
        <v>45859.343007002317</v>
      </c>
      <c r="D529" t="s">
        <v>29</v>
      </c>
      <c r="E529">
        <v>27.61</v>
      </c>
    </row>
    <row r="530" spans="1:5" x14ac:dyDescent="0.35">
      <c r="A530" t="s">
        <v>783</v>
      </c>
      <c r="B530" t="s">
        <v>784</v>
      </c>
      <c r="C530" s="1">
        <v>45688.343007002317</v>
      </c>
      <c r="D530" t="s">
        <v>16</v>
      </c>
      <c r="E530">
        <v>9.42</v>
      </c>
    </row>
    <row r="531" spans="1:5" x14ac:dyDescent="0.35">
      <c r="A531" t="s">
        <v>785</v>
      </c>
      <c r="B531" t="s">
        <v>104</v>
      </c>
      <c r="C531" s="1">
        <v>45685.343007002317</v>
      </c>
      <c r="D531" t="s">
        <v>7</v>
      </c>
      <c r="E531">
        <v>47.19</v>
      </c>
    </row>
    <row r="532" spans="1:5" x14ac:dyDescent="0.35">
      <c r="A532" t="s">
        <v>786</v>
      </c>
      <c r="B532" t="s">
        <v>713</v>
      </c>
      <c r="C532" s="1">
        <v>45710.343007002317</v>
      </c>
      <c r="D532" t="s">
        <v>50</v>
      </c>
      <c r="E532">
        <v>5.92</v>
      </c>
    </row>
    <row r="533" spans="1:5" x14ac:dyDescent="0.35">
      <c r="A533" t="s">
        <v>787</v>
      </c>
      <c r="B533" t="s">
        <v>309</v>
      </c>
      <c r="C533" s="1">
        <v>45700.343007002317</v>
      </c>
      <c r="D533" t="s">
        <v>50</v>
      </c>
      <c r="E533">
        <v>5.24</v>
      </c>
    </row>
    <row r="534" spans="1:5" x14ac:dyDescent="0.35">
      <c r="A534" t="s">
        <v>788</v>
      </c>
      <c r="B534" t="s">
        <v>118</v>
      </c>
      <c r="C534" s="1">
        <v>45791.343007002317</v>
      </c>
      <c r="D534" t="s">
        <v>13</v>
      </c>
      <c r="E534">
        <v>14.06</v>
      </c>
    </row>
    <row r="535" spans="1:5" x14ac:dyDescent="0.35">
      <c r="A535" t="s">
        <v>789</v>
      </c>
      <c r="B535" t="s">
        <v>398</v>
      </c>
      <c r="C535" s="1">
        <v>45909.343007002317</v>
      </c>
      <c r="D535" t="s">
        <v>7</v>
      </c>
      <c r="E535">
        <v>44.17</v>
      </c>
    </row>
    <row r="536" spans="1:5" x14ac:dyDescent="0.35">
      <c r="A536" t="s">
        <v>790</v>
      </c>
      <c r="B536" t="s">
        <v>791</v>
      </c>
      <c r="C536" s="1">
        <v>45709.343007002317</v>
      </c>
      <c r="D536" t="s">
        <v>13</v>
      </c>
      <c r="E536">
        <v>12.22</v>
      </c>
    </row>
    <row r="537" spans="1:5" x14ac:dyDescent="0.35">
      <c r="A537" t="s">
        <v>792</v>
      </c>
      <c r="B537" t="s">
        <v>793</v>
      </c>
      <c r="C537" s="1">
        <v>45670.343007002317</v>
      </c>
      <c r="D537" t="s">
        <v>7</v>
      </c>
      <c r="E537">
        <v>34.880000000000003</v>
      </c>
    </row>
    <row r="538" spans="1:5" x14ac:dyDescent="0.35">
      <c r="A538" t="s">
        <v>794</v>
      </c>
      <c r="B538" t="s">
        <v>795</v>
      </c>
      <c r="C538" s="1">
        <v>45812.343007002317</v>
      </c>
      <c r="D538" t="s">
        <v>29</v>
      </c>
      <c r="E538">
        <v>24.59</v>
      </c>
    </row>
    <row r="539" spans="1:5" x14ac:dyDescent="0.35">
      <c r="A539" t="s">
        <v>796</v>
      </c>
      <c r="B539" t="s">
        <v>560</v>
      </c>
      <c r="C539" s="1">
        <v>45872.343007002317</v>
      </c>
      <c r="D539" t="s">
        <v>50</v>
      </c>
      <c r="E539">
        <v>5.12</v>
      </c>
    </row>
    <row r="540" spans="1:5" x14ac:dyDescent="0.35">
      <c r="A540" t="s">
        <v>797</v>
      </c>
      <c r="B540" t="s">
        <v>92</v>
      </c>
      <c r="C540" s="1">
        <v>45844.343007002317</v>
      </c>
      <c r="D540" t="s">
        <v>50</v>
      </c>
      <c r="E540">
        <v>5.73</v>
      </c>
    </row>
    <row r="541" spans="1:5" x14ac:dyDescent="0.35">
      <c r="A541" t="s">
        <v>798</v>
      </c>
      <c r="B541" t="s">
        <v>300</v>
      </c>
      <c r="C541" s="1">
        <v>45759.343007002317</v>
      </c>
      <c r="D541" t="s">
        <v>29</v>
      </c>
      <c r="E541">
        <v>24.81</v>
      </c>
    </row>
    <row r="542" spans="1:5" x14ac:dyDescent="0.35">
      <c r="A542" t="s">
        <v>799</v>
      </c>
      <c r="B542" t="s">
        <v>24</v>
      </c>
      <c r="C542" s="1">
        <v>45952.343007002317</v>
      </c>
      <c r="D542" t="s">
        <v>10</v>
      </c>
      <c r="E542">
        <v>17.39</v>
      </c>
    </row>
    <row r="543" spans="1:5" x14ac:dyDescent="0.35">
      <c r="A543" t="s">
        <v>800</v>
      </c>
      <c r="B543" t="s">
        <v>495</v>
      </c>
      <c r="C543" s="1">
        <v>45787.343007002317</v>
      </c>
      <c r="D543" t="s">
        <v>13</v>
      </c>
      <c r="E543">
        <v>12.84</v>
      </c>
    </row>
    <row r="544" spans="1:5" x14ac:dyDescent="0.35">
      <c r="A544" t="s">
        <v>801</v>
      </c>
      <c r="B544" t="s">
        <v>776</v>
      </c>
      <c r="C544" s="1">
        <v>45822.343007002317</v>
      </c>
      <c r="D544" t="s">
        <v>29</v>
      </c>
      <c r="E544">
        <v>21.37</v>
      </c>
    </row>
    <row r="545" spans="1:5" x14ac:dyDescent="0.35">
      <c r="A545" t="s">
        <v>802</v>
      </c>
      <c r="B545" t="s">
        <v>325</v>
      </c>
      <c r="C545" s="1">
        <v>45772.343007002317</v>
      </c>
      <c r="D545" t="s">
        <v>13</v>
      </c>
      <c r="E545">
        <v>14.38</v>
      </c>
    </row>
    <row r="546" spans="1:5" x14ac:dyDescent="0.35">
      <c r="A546" t="s">
        <v>803</v>
      </c>
      <c r="B546" t="s">
        <v>804</v>
      </c>
      <c r="C546" s="1">
        <v>45694.343007002317</v>
      </c>
      <c r="D546" t="s">
        <v>16</v>
      </c>
      <c r="E546">
        <v>10.11</v>
      </c>
    </row>
    <row r="547" spans="1:5" x14ac:dyDescent="0.35">
      <c r="A547" t="s">
        <v>805</v>
      </c>
      <c r="B547" t="s">
        <v>264</v>
      </c>
      <c r="C547" s="1">
        <v>45631.343007002317</v>
      </c>
      <c r="D547" t="s">
        <v>50</v>
      </c>
      <c r="E547">
        <v>4.78</v>
      </c>
    </row>
    <row r="548" spans="1:5" x14ac:dyDescent="0.35">
      <c r="A548" t="s">
        <v>806</v>
      </c>
      <c r="B548" t="s">
        <v>378</v>
      </c>
      <c r="C548" s="1">
        <v>45691.343007002317</v>
      </c>
      <c r="D548" t="s">
        <v>13</v>
      </c>
      <c r="E548">
        <v>12.76</v>
      </c>
    </row>
    <row r="549" spans="1:5" x14ac:dyDescent="0.35">
      <c r="A549" t="s">
        <v>807</v>
      </c>
      <c r="B549" t="s">
        <v>396</v>
      </c>
      <c r="C549" s="1">
        <v>45747.343007002317</v>
      </c>
      <c r="D549" t="s">
        <v>7</v>
      </c>
      <c r="E549">
        <v>33.74</v>
      </c>
    </row>
    <row r="550" spans="1:5" x14ac:dyDescent="0.35">
      <c r="A550" t="s">
        <v>808</v>
      </c>
      <c r="B550" t="s">
        <v>809</v>
      </c>
      <c r="C550" s="1">
        <v>45746.343007002317</v>
      </c>
      <c r="D550" t="s">
        <v>13</v>
      </c>
      <c r="E550">
        <v>12.66</v>
      </c>
    </row>
    <row r="551" spans="1:5" x14ac:dyDescent="0.35">
      <c r="A551" t="s">
        <v>810</v>
      </c>
      <c r="B551" t="s">
        <v>811</v>
      </c>
      <c r="C551" s="1">
        <v>45785.343007002317</v>
      </c>
      <c r="D551" t="s">
        <v>16</v>
      </c>
      <c r="E551">
        <v>9.99</v>
      </c>
    </row>
    <row r="552" spans="1:5" x14ac:dyDescent="0.35">
      <c r="A552" t="s">
        <v>812</v>
      </c>
      <c r="B552" t="s">
        <v>804</v>
      </c>
      <c r="C552" s="1">
        <v>45819.343007002317</v>
      </c>
      <c r="D552" t="s">
        <v>50</v>
      </c>
      <c r="E552">
        <v>4.8099999999999996</v>
      </c>
    </row>
    <row r="553" spans="1:5" x14ac:dyDescent="0.35">
      <c r="A553" t="s">
        <v>813</v>
      </c>
      <c r="B553" t="s">
        <v>300</v>
      </c>
      <c r="C553" s="1">
        <v>45632.343007002317</v>
      </c>
      <c r="D553" t="s">
        <v>29</v>
      </c>
      <c r="E553">
        <v>29.53</v>
      </c>
    </row>
    <row r="554" spans="1:5" x14ac:dyDescent="0.35">
      <c r="A554" t="s">
        <v>814</v>
      </c>
      <c r="B554" t="s">
        <v>60</v>
      </c>
      <c r="C554" s="1">
        <v>45863.343007002317</v>
      </c>
      <c r="D554" t="s">
        <v>16</v>
      </c>
      <c r="E554">
        <v>10.09</v>
      </c>
    </row>
    <row r="555" spans="1:5" x14ac:dyDescent="0.35">
      <c r="A555" t="s">
        <v>815</v>
      </c>
      <c r="B555" t="s">
        <v>329</v>
      </c>
      <c r="C555" s="1">
        <v>45778.343007002317</v>
      </c>
      <c r="D555" t="s">
        <v>50</v>
      </c>
      <c r="E555">
        <v>4.4400000000000004</v>
      </c>
    </row>
    <row r="556" spans="1:5" x14ac:dyDescent="0.35">
      <c r="A556" t="s">
        <v>816</v>
      </c>
      <c r="B556" t="s">
        <v>742</v>
      </c>
      <c r="C556" s="1">
        <v>45608.343007002317</v>
      </c>
      <c r="D556" t="s">
        <v>13</v>
      </c>
      <c r="E556">
        <v>11.8</v>
      </c>
    </row>
    <row r="557" spans="1:5" x14ac:dyDescent="0.35">
      <c r="A557" t="s">
        <v>817</v>
      </c>
      <c r="B557" t="s">
        <v>450</v>
      </c>
      <c r="C557" s="1">
        <v>45874.343007002317</v>
      </c>
      <c r="D557" t="s">
        <v>10</v>
      </c>
      <c r="E557">
        <v>17.52</v>
      </c>
    </row>
    <row r="558" spans="1:5" x14ac:dyDescent="0.35">
      <c r="A558" t="s">
        <v>818</v>
      </c>
      <c r="B558" t="s">
        <v>145</v>
      </c>
      <c r="C558" s="1">
        <v>45812.343007002317</v>
      </c>
      <c r="D558" t="s">
        <v>10</v>
      </c>
      <c r="E558">
        <v>13.06</v>
      </c>
    </row>
    <row r="559" spans="1:5" x14ac:dyDescent="0.35">
      <c r="A559" t="s">
        <v>819</v>
      </c>
      <c r="B559" t="s">
        <v>820</v>
      </c>
      <c r="C559" s="1">
        <v>45950.343007002317</v>
      </c>
      <c r="D559" t="s">
        <v>7</v>
      </c>
      <c r="E559">
        <v>35.42</v>
      </c>
    </row>
    <row r="560" spans="1:5" x14ac:dyDescent="0.35">
      <c r="A560" t="s">
        <v>821</v>
      </c>
      <c r="B560" t="s">
        <v>483</v>
      </c>
      <c r="C560" s="1">
        <v>45956.343007002317</v>
      </c>
      <c r="D560" t="s">
        <v>50</v>
      </c>
      <c r="E560">
        <v>4.03</v>
      </c>
    </row>
    <row r="561" spans="1:5" x14ac:dyDescent="0.35">
      <c r="A561" t="s">
        <v>822</v>
      </c>
      <c r="B561" t="s">
        <v>823</v>
      </c>
      <c r="C561" s="1">
        <v>45881.343007002317</v>
      </c>
      <c r="D561" t="s">
        <v>10</v>
      </c>
      <c r="E561">
        <v>12.09</v>
      </c>
    </row>
    <row r="562" spans="1:5" x14ac:dyDescent="0.35">
      <c r="A562" t="s">
        <v>824</v>
      </c>
      <c r="B562" t="s">
        <v>264</v>
      </c>
      <c r="C562" s="1">
        <v>45868.343007002317</v>
      </c>
      <c r="D562" t="s">
        <v>29</v>
      </c>
      <c r="E562">
        <v>28.29</v>
      </c>
    </row>
    <row r="563" spans="1:5" x14ac:dyDescent="0.35">
      <c r="A563" t="s">
        <v>825</v>
      </c>
      <c r="B563" t="s">
        <v>560</v>
      </c>
      <c r="C563" s="1">
        <v>45657.343007002317</v>
      </c>
      <c r="D563" t="s">
        <v>50</v>
      </c>
      <c r="E563">
        <v>5.46</v>
      </c>
    </row>
    <row r="564" spans="1:5" x14ac:dyDescent="0.35">
      <c r="A564" t="s">
        <v>826</v>
      </c>
      <c r="B564" t="s">
        <v>500</v>
      </c>
      <c r="C564" s="1">
        <v>45679.343007002317</v>
      </c>
      <c r="D564" t="s">
        <v>29</v>
      </c>
      <c r="E564">
        <v>23.55</v>
      </c>
    </row>
    <row r="565" spans="1:5" x14ac:dyDescent="0.35">
      <c r="A565" t="s">
        <v>827</v>
      </c>
      <c r="B565" t="s">
        <v>828</v>
      </c>
      <c r="C565" s="1">
        <v>45812.343007002317</v>
      </c>
      <c r="D565" t="s">
        <v>29</v>
      </c>
      <c r="E565">
        <v>26.98</v>
      </c>
    </row>
    <row r="566" spans="1:5" x14ac:dyDescent="0.35">
      <c r="A566" t="s">
        <v>829</v>
      </c>
      <c r="B566" t="s">
        <v>374</v>
      </c>
      <c r="C566" s="1">
        <v>45937.343007002317</v>
      </c>
      <c r="D566" t="s">
        <v>10</v>
      </c>
      <c r="E566">
        <v>14.37</v>
      </c>
    </row>
    <row r="567" spans="1:5" x14ac:dyDescent="0.35">
      <c r="A567" t="s">
        <v>830</v>
      </c>
      <c r="B567" t="s">
        <v>205</v>
      </c>
      <c r="C567" s="1">
        <v>45782.343007002317</v>
      </c>
      <c r="D567" t="s">
        <v>50</v>
      </c>
      <c r="E567">
        <v>5.91</v>
      </c>
    </row>
    <row r="568" spans="1:5" x14ac:dyDescent="0.35">
      <c r="A568" t="s">
        <v>831</v>
      </c>
      <c r="B568" t="s">
        <v>66</v>
      </c>
      <c r="C568" s="1">
        <v>45614.343007002317</v>
      </c>
      <c r="D568" t="s">
        <v>13</v>
      </c>
      <c r="E568">
        <v>14.24</v>
      </c>
    </row>
    <row r="569" spans="1:5" x14ac:dyDescent="0.35">
      <c r="A569" t="s">
        <v>832</v>
      </c>
      <c r="B569" t="s">
        <v>823</v>
      </c>
      <c r="C569" s="1">
        <v>45772.343007002317</v>
      </c>
      <c r="D569" t="s">
        <v>16</v>
      </c>
      <c r="E569">
        <v>9.57</v>
      </c>
    </row>
    <row r="570" spans="1:5" x14ac:dyDescent="0.35">
      <c r="A570" t="s">
        <v>833</v>
      </c>
      <c r="B570" t="s">
        <v>321</v>
      </c>
      <c r="C570" s="1">
        <v>45695.343007002317</v>
      </c>
      <c r="D570" t="s">
        <v>10</v>
      </c>
      <c r="E570">
        <v>17.13</v>
      </c>
    </row>
    <row r="571" spans="1:5" x14ac:dyDescent="0.35">
      <c r="A571" t="s">
        <v>834</v>
      </c>
      <c r="B571" t="s">
        <v>281</v>
      </c>
      <c r="C571" s="1">
        <v>45828.343007002317</v>
      </c>
      <c r="D571" t="s">
        <v>10</v>
      </c>
      <c r="E571">
        <v>16.64</v>
      </c>
    </row>
    <row r="572" spans="1:5" x14ac:dyDescent="0.35">
      <c r="A572" t="s">
        <v>835</v>
      </c>
      <c r="B572" t="s">
        <v>836</v>
      </c>
      <c r="C572" s="1">
        <v>45671.343007002317</v>
      </c>
      <c r="D572" t="s">
        <v>13</v>
      </c>
      <c r="E572">
        <v>11.09</v>
      </c>
    </row>
    <row r="573" spans="1:5" x14ac:dyDescent="0.35">
      <c r="A573" t="s">
        <v>837</v>
      </c>
      <c r="B573" t="s">
        <v>511</v>
      </c>
      <c r="C573" s="1">
        <v>45860.343007002317</v>
      </c>
      <c r="D573" t="s">
        <v>50</v>
      </c>
      <c r="E573">
        <v>4.46</v>
      </c>
    </row>
    <row r="574" spans="1:5" x14ac:dyDescent="0.35">
      <c r="A574" t="s">
        <v>838</v>
      </c>
      <c r="B574" t="s">
        <v>268</v>
      </c>
      <c r="C574" s="1">
        <v>45879.343007002317</v>
      </c>
      <c r="D574" t="s">
        <v>50</v>
      </c>
      <c r="E574">
        <v>4.92</v>
      </c>
    </row>
    <row r="575" spans="1:5" x14ac:dyDescent="0.35">
      <c r="A575" t="s">
        <v>839</v>
      </c>
      <c r="B575" t="s">
        <v>519</v>
      </c>
      <c r="C575" s="1">
        <v>45801.343007002317</v>
      </c>
      <c r="D575" t="s">
        <v>29</v>
      </c>
      <c r="E575">
        <v>27.81</v>
      </c>
    </row>
    <row r="576" spans="1:5" x14ac:dyDescent="0.35">
      <c r="A576" t="s">
        <v>840</v>
      </c>
      <c r="B576" t="s">
        <v>380</v>
      </c>
      <c r="C576" s="1">
        <v>45818.343007002317</v>
      </c>
      <c r="D576" t="s">
        <v>13</v>
      </c>
      <c r="E576">
        <v>14.21</v>
      </c>
    </row>
    <row r="577" spans="1:5" x14ac:dyDescent="0.35">
      <c r="A577" t="s">
        <v>841</v>
      </c>
      <c r="B577" t="s">
        <v>225</v>
      </c>
      <c r="C577" s="1">
        <v>45647.343007002317</v>
      </c>
      <c r="D577" t="s">
        <v>13</v>
      </c>
      <c r="E577">
        <v>13.27</v>
      </c>
    </row>
    <row r="578" spans="1:5" x14ac:dyDescent="0.35">
      <c r="A578" t="s">
        <v>842</v>
      </c>
      <c r="B578" t="s">
        <v>843</v>
      </c>
      <c r="C578" s="1">
        <v>45934.343007002317</v>
      </c>
      <c r="D578" t="s">
        <v>50</v>
      </c>
      <c r="E578">
        <v>5.71</v>
      </c>
    </row>
    <row r="579" spans="1:5" x14ac:dyDescent="0.35">
      <c r="A579" t="s">
        <v>844</v>
      </c>
      <c r="B579" t="s">
        <v>122</v>
      </c>
      <c r="C579" s="1">
        <v>45739.343007002317</v>
      </c>
      <c r="D579" t="s">
        <v>29</v>
      </c>
      <c r="E579">
        <v>26.03</v>
      </c>
    </row>
    <row r="580" spans="1:5" x14ac:dyDescent="0.35">
      <c r="A580" t="s">
        <v>845</v>
      </c>
      <c r="B580" t="s">
        <v>846</v>
      </c>
      <c r="C580" s="1">
        <v>45664.343007002317</v>
      </c>
      <c r="D580" t="s">
        <v>10</v>
      </c>
      <c r="E580">
        <v>17.010000000000002</v>
      </c>
    </row>
    <row r="581" spans="1:5" x14ac:dyDescent="0.35">
      <c r="A581" t="s">
        <v>847</v>
      </c>
      <c r="B581" t="s">
        <v>848</v>
      </c>
      <c r="C581" s="1">
        <v>45694.343007002317</v>
      </c>
      <c r="D581" t="s">
        <v>7</v>
      </c>
      <c r="E581">
        <v>44.55</v>
      </c>
    </row>
    <row r="582" spans="1:5" x14ac:dyDescent="0.35">
      <c r="A582" t="s">
        <v>849</v>
      </c>
      <c r="B582" t="s">
        <v>585</v>
      </c>
      <c r="C582" s="1">
        <v>45620.343007002317</v>
      </c>
      <c r="D582" t="s">
        <v>16</v>
      </c>
      <c r="E582">
        <v>9.51</v>
      </c>
    </row>
    <row r="583" spans="1:5" x14ac:dyDescent="0.35">
      <c r="A583" t="s">
        <v>850</v>
      </c>
      <c r="B583" t="s">
        <v>418</v>
      </c>
      <c r="C583" s="1">
        <v>45648.343007002317</v>
      </c>
      <c r="D583" t="s">
        <v>10</v>
      </c>
      <c r="E583">
        <v>15.31</v>
      </c>
    </row>
    <row r="584" spans="1:5" x14ac:dyDescent="0.35">
      <c r="A584" t="s">
        <v>851</v>
      </c>
      <c r="B584" t="s">
        <v>281</v>
      </c>
      <c r="C584" s="1">
        <v>45746.343007002317</v>
      </c>
      <c r="D584" t="s">
        <v>50</v>
      </c>
      <c r="E584">
        <v>5.61</v>
      </c>
    </row>
    <row r="585" spans="1:5" x14ac:dyDescent="0.35">
      <c r="A585" t="s">
        <v>852</v>
      </c>
      <c r="B585" t="s">
        <v>454</v>
      </c>
      <c r="C585" s="1">
        <v>45739.343007002317</v>
      </c>
      <c r="D585" t="s">
        <v>16</v>
      </c>
      <c r="E585">
        <v>8.18</v>
      </c>
    </row>
    <row r="586" spans="1:5" x14ac:dyDescent="0.35">
      <c r="A586" t="s">
        <v>853</v>
      </c>
      <c r="B586" t="s">
        <v>703</v>
      </c>
      <c r="C586" s="1">
        <v>45652.343007002317</v>
      </c>
      <c r="D586" t="s">
        <v>7</v>
      </c>
      <c r="E586">
        <v>44.93</v>
      </c>
    </row>
    <row r="587" spans="1:5" x14ac:dyDescent="0.35">
      <c r="A587" t="s">
        <v>854</v>
      </c>
      <c r="B587" t="s">
        <v>118</v>
      </c>
      <c r="C587" s="1">
        <v>45634.343007002317</v>
      </c>
      <c r="D587" t="s">
        <v>7</v>
      </c>
      <c r="E587">
        <v>34.85</v>
      </c>
    </row>
    <row r="588" spans="1:5" x14ac:dyDescent="0.35">
      <c r="A588" t="s">
        <v>855</v>
      </c>
      <c r="B588" t="s">
        <v>856</v>
      </c>
      <c r="C588" s="1">
        <v>45704.343007002317</v>
      </c>
      <c r="D588" t="s">
        <v>29</v>
      </c>
      <c r="E588">
        <v>25.15</v>
      </c>
    </row>
    <row r="589" spans="1:5" x14ac:dyDescent="0.35">
      <c r="A589" t="s">
        <v>857</v>
      </c>
      <c r="B589" t="s">
        <v>281</v>
      </c>
      <c r="C589" s="1">
        <v>45776.343007002317</v>
      </c>
      <c r="D589" t="s">
        <v>16</v>
      </c>
      <c r="E589">
        <v>11.23</v>
      </c>
    </row>
    <row r="590" spans="1:5" x14ac:dyDescent="0.35">
      <c r="A590" t="s">
        <v>858</v>
      </c>
      <c r="B590" t="s">
        <v>132</v>
      </c>
      <c r="C590" s="1">
        <v>45637.343007002317</v>
      </c>
      <c r="D590" t="s">
        <v>29</v>
      </c>
      <c r="E590">
        <v>22.54</v>
      </c>
    </row>
    <row r="591" spans="1:5" x14ac:dyDescent="0.35">
      <c r="A591" t="s">
        <v>859</v>
      </c>
      <c r="B591" t="s">
        <v>260</v>
      </c>
      <c r="C591" s="1">
        <v>45781.343007002317</v>
      </c>
      <c r="D591" t="s">
        <v>10</v>
      </c>
      <c r="E591">
        <v>13.47</v>
      </c>
    </row>
    <row r="592" spans="1:5" x14ac:dyDescent="0.35">
      <c r="A592" t="s">
        <v>860</v>
      </c>
      <c r="B592" t="s">
        <v>98</v>
      </c>
      <c r="C592" s="1">
        <v>45818.343007002317</v>
      </c>
      <c r="D592" t="s">
        <v>13</v>
      </c>
      <c r="E592">
        <v>11.53</v>
      </c>
    </row>
    <row r="593" spans="1:5" x14ac:dyDescent="0.35">
      <c r="A593" t="s">
        <v>861</v>
      </c>
      <c r="B593" t="s">
        <v>28</v>
      </c>
      <c r="C593" s="1">
        <v>45717.343007002317</v>
      </c>
      <c r="D593" t="s">
        <v>13</v>
      </c>
      <c r="E593">
        <v>13.89</v>
      </c>
    </row>
    <row r="594" spans="1:5" x14ac:dyDescent="0.35">
      <c r="A594" t="s">
        <v>862</v>
      </c>
      <c r="B594" t="s">
        <v>321</v>
      </c>
      <c r="C594" s="1">
        <v>45728.343007002317</v>
      </c>
      <c r="D594" t="s">
        <v>13</v>
      </c>
      <c r="E594">
        <v>9.6</v>
      </c>
    </row>
    <row r="595" spans="1:5" x14ac:dyDescent="0.35">
      <c r="A595" t="s">
        <v>863</v>
      </c>
      <c r="B595" t="s">
        <v>31</v>
      </c>
      <c r="C595" s="1">
        <v>45758.343007002317</v>
      </c>
      <c r="D595" t="s">
        <v>16</v>
      </c>
      <c r="E595">
        <v>11.61</v>
      </c>
    </row>
    <row r="596" spans="1:5" x14ac:dyDescent="0.35">
      <c r="A596" t="s">
        <v>864</v>
      </c>
      <c r="B596" t="s">
        <v>828</v>
      </c>
      <c r="C596" s="1">
        <v>45810.343007002317</v>
      </c>
      <c r="D596" t="s">
        <v>13</v>
      </c>
      <c r="E596">
        <v>10.34</v>
      </c>
    </row>
    <row r="597" spans="1:5" x14ac:dyDescent="0.35">
      <c r="A597" t="s">
        <v>865</v>
      </c>
      <c r="B597" t="s">
        <v>479</v>
      </c>
      <c r="C597" s="1">
        <v>45816.343007002317</v>
      </c>
      <c r="D597" t="s">
        <v>10</v>
      </c>
      <c r="E597">
        <v>17.940000000000001</v>
      </c>
    </row>
    <row r="598" spans="1:5" x14ac:dyDescent="0.35">
      <c r="A598" t="s">
        <v>866</v>
      </c>
      <c r="B598" t="s">
        <v>407</v>
      </c>
      <c r="C598" s="1">
        <v>45830.343007002317</v>
      </c>
      <c r="D598" t="s">
        <v>29</v>
      </c>
      <c r="E598">
        <v>29.55</v>
      </c>
    </row>
    <row r="599" spans="1:5" x14ac:dyDescent="0.35">
      <c r="A599" t="s">
        <v>867</v>
      </c>
      <c r="B599" t="s">
        <v>47</v>
      </c>
      <c r="C599" s="1">
        <v>45926.343007002317</v>
      </c>
      <c r="D599" t="s">
        <v>16</v>
      </c>
      <c r="E599">
        <v>9.98</v>
      </c>
    </row>
    <row r="600" spans="1:5" x14ac:dyDescent="0.35">
      <c r="A600" t="s">
        <v>868</v>
      </c>
      <c r="B600" t="s">
        <v>219</v>
      </c>
      <c r="C600" s="1">
        <v>45741.343007002317</v>
      </c>
      <c r="D600" t="s">
        <v>29</v>
      </c>
      <c r="E600">
        <v>25.13</v>
      </c>
    </row>
    <row r="601" spans="1:5" x14ac:dyDescent="0.35">
      <c r="A601" t="s">
        <v>869</v>
      </c>
      <c r="B601" t="s">
        <v>870</v>
      </c>
      <c r="C601" s="1">
        <v>45834.343007002317</v>
      </c>
      <c r="D601" t="s">
        <v>16</v>
      </c>
      <c r="E601">
        <v>9.93</v>
      </c>
    </row>
    <row r="602" spans="1:5" x14ac:dyDescent="0.35">
      <c r="A602" t="s">
        <v>871</v>
      </c>
      <c r="B602" t="s">
        <v>31</v>
      </c>
      <c r="C602" s="1">
        <v>45671.343007002317</v>
      </c>
      <c r="D602" t="s">
        <v>29</v>
      </c>
      <c r="E602">
        <v>26.35</v>
      </c>
    </row>
    <row r="603" spans="1:5" x14ac:dyDescent="0.35">
      <c r="A603" t="s">
        <v>872</v>
      </c>
      <c r="B603" t="s">
        <v>694</v>
      </c>
      <c r="C603" s="1">
        <v>45604.343007002317</v>
      </c>
      <c r="D603" t="s">
        <v>7</v>
      </c>
      <c r="E603">
        <v>33.450000000000003</v>
      </c>
    </row>
    <row r="604" spans="1:5" x14ac:dyDescent="0.35">
      <c r="A604" t="s">
        <v>873</v>
      </c>
      <c r="B604" t="s">
        <v>389</v>
      </c>
      <c r="C604" s="1">
        <v>45669.343007002317</v>
      </c>
      <c r="D604" t="s">
        <v>29</v>
      </c>
      <c r="E604">
        <v>20.329999999999998</v>
      </c>
    </row>
    <row r="605" spans="1:5" x14ac:dyDescent="0.35">
      <c r="A605" t="s">
        <v>874</v>
      </c>
      <c r="B605" t="s">
        <v>233</v>
      </c>
      <c r="C605" s="1">
        <v>45848.343007002317</v>
      </c>
      <c r="D605" t="s">
        <v>13</v>
      </c>
      <c r="E605">
        <v>9.8800000000000008</v>
      </c>
    </row>
    <row r="606" spans="1:5" x14ac:dyDescent="0.35">
      <c r="A606" t="s">
        <v>875</v>
      </c>
      <c r="B606" t="s">
        <v>848</v>
      </c>
      <c r="C606" s="1">
        <v>45825.343007002317</v>
      </c>
      <c r="D606" t="s">
        <v>7</v>
      </c>
      <c r="E606">
        <v>39.11</v>
      </c>
    </row>
    <row r="607" spans="1:5" x14ac:dyDescent="0.35">
      <c r="A607" t="s">
        <v>876</v>
      </c>
      <c r="B607" t="s">
        <v>128</v>
      </c>
      <c r="C607" s="1">
        <v>45602.343007002317</v>
      </c>
      <c r="D607" t="s">
        <v>29</v>
      </c>
      <c r="E607">
        <v>22.76</v>
      </c>
    </row>
    <row r="608" spans="1:5" x14ac:dyDescent="0.35">
      <c r="A608" t="s">
        <v>877</v>
      </c>
      <c r="B608" t="s">
        <v>342</v>
      </c>
      <c r="C608" s="1">
        <v>45769.343007002317</v>
      </c>
      <c r="D608" t="s">
        <v>16</v>
      </c>
      <c r="E608">
        <v>10.49</v>
      </c>
    </row>
    <row r="609" spans="1:5" x14ac:dyDescent="0.35">
      <c r="A609" t="s">
        <v>878</v>
      </c>
      <c r="B609" t="s">
        <v>809</v>
      </c>
      <c r="C609" s="1">
        <v>45736.343007002317</v>
      </c>
      <c r="D609" t="s">
        <v>16</v>
      </c>
      <c r="E609">
        <v>11.97</v>
      </c>
    </row>
    <row r="610" spans="1:5" x14ac:dyDescent="0.35">
      <c r="A610" t="s">
        <v>879</v>
      </c>
      <c r="B610" t="s">
        <v>444</v>
      </c>
      <c r="C610" s="1">
        <v>45763.343007002317</v>
      </c>
      <c r="D610" t="s">
        <v>16</v>
      </c>
      <c r="E610">
        <v>9.5500000000000007</v>
      </c>
    </row>
    <row r="611" spans="1:5" x14ac:dyDescent="0.35">
      <c r="A611" t="s">
        <v>880</v>
      </c>
      <c r="B611" t="s">
        <v>422</v>
      </c>
      <c r="C611" s="1">
        <v>45765.343007002317</v>
      </c>
      <c r="D611" t="s">
        <v>50</v>
      </c>
      <c r="E611">
        <v>5.15</v>
      </c>
    </row>
    <row r="612" spans="1:5" x14ac:dyDescent="0.35">
      <c r="A612" t="s">
        <v>881</v>
      </c>
      <c r="B612" t="s">
        <v>560</v>
      </c>
      <c r="C612" s="1">
        <v>45878.343007002317</v>
      </c>
      <c r="D612" t="s">
        <v>10</v>
      </c>
      <c r="E612">
        <v>14.49</v>
      </c>
    </row>
    <row r="613" spans="1:5" x14ac:dyDescent="0.35">
      <c r="A613" t="s">
        <v>882</v>
      </c>
      <c r="B613" t="s">
        <v>636</v>
      </c>
      <c r="C613" s="1">
        <v>45717.343007002317</v>
      </c>
      <c r="D613" t="s">
        <v>16</v>
      </c>
      <c r="E613">
        <v>11.39</v>
      </c>
    </row>
    <row r="614" spans="1:5" x14ac:dyDescent="0.35">
      <c r="A614" t="s">
        <v>883</v>
      </c>
      <c r="B614" t="s">
        <v>856</v>
      </c>
      <c r="C614" s="1">
        <v>45789.343007002317</v>
      </c>
      <c r="D614" t="s">
        <v>7</v>
      </c>
      <c r="E614">
        <v>46.44</v>
      </c>
    </row>
    <row r="615" spans="1:5" x14ac:dyDescent="0.35">
      <c r="A615" t="s">
        <v>884</v>
      </c>
      <c r="B615" t="s">
        <v>885</v>
      </c>
      <c r="C615" s="1">
        <v>45600.343007002317</v>
      </c>
      <c r="D615" t="s">
        <v>16</v>
      </c>
      <c r="E615">
        <v>11.51</v>
      </c>
    </row>
    <row r="616" spans="1:5" x14ac:dyDescent="0.35">
      <c r="A616" t="s">
        <v>886</v>
      </c>
      <c r="B616" t="s">
        <v>479</v>
      </c>
      <c r="C616" s="1">
        <v>45624.343007002317</v>
      </c>
      <c r="D616" t="s">
        <v>50</v>
      </c>
      <c r="E616">
        <v>5.95</v>
      </c>
    </row>
    <row r="617" spans="1:5" x14ac:dyDescent="0.35">
      <c r="A617" t="s">
        <v>887</v>
      </c>
      <c r="B617" t="s">
        <v>682</v>
      </c>
      <c r="C617" s="1">
        <v>45760.343007002317</v>
      </c>
      <c r="D617" t="s">
        <v>13</v>
      </c>
      <c r="E617">
        <v>9.73</v>
      </c>
    </row>
    <row r="618" spans="1:5" x14ac:dyDescent="0.35">
      <c r="A618" t="s">
        <v>888</v>
      </c>
      <c r="B618" t="s">
        <v>60</v>
      </c>
      <c r="C618" s="1">
        <v>45934.343007002317</v>
      </c>
      <c r="D618" t="s">
        <v>7</v>
      </c>
      <c r="E618">
        <v>45.44</v>
      </c>
    </row>
    <row r="619" spans="1:5" x14ac:dyDescent="0.35">
      <c r="A619" t="s">
        <v>889</v>
      </c>
      <c r="B619" t="s">
        <v>112</v>
      </c>
      <c r="C619" s="1">
        <v>45731.343007002317</v>
      </c>
      <c r="D619" t="s">
        <v>50</v>
      </c>
      <c r="E619">
        <v>5.5</v>
      </c>
    </row>
    <row r="620" spans="1:5" x14ac:dyDescent="0.35">
      <c r="A620" t="s">
        <v>890</v>
      </c>
      <c r="B620" t="s">
        <v>891</v>
      </c>
      <c r="C620" s="1">
        <v>45960.343007002317</v>
      </c>
      <c r="D620" t="s">
        <v>13</v>
      </c>
      <c r="E620">
        <v>10.7</v>
      </c>
    </row>
    <row r="621" spans="1:5" x14ac:dyDescent="0.35">
      <c r="A621" t="s">
        <v>892</v>
      </c>
      <c r="B621" t="s">
        <v>349</v>
      </c>
      <c r="C621" s="1">
        <v>45916.343007002317</v>
      </c>
      <c r="D621" t="s">
        <v>7</v>
      </c>
      <c r="E621">
        <v>47.3</v>
      </c>
    </row>
    <row r="622" spans="1:5" x14ac:dyDescent="0.35">
      <c r="A622" t="s">
        <v>893</v>
      </c>
      <c r="B622" t="s">
        <v>846</v>
      </c>
      <c r="C622" s="1">
        <v>45937.343007002317</v>
      </c>
      <c r="D622" t="s">
        <v>29</v>
      </c>
      <c r="E622">
        <v>21.48</v>
      </c>
    </row>
    <row r="623" spans="1:5" x14ac:dyDescent="0.35">
      <c r="A623" t="s">
        <v>894</v>
      </c>
      <c r="B623" t="s">
        <v>479</v>
      </c>
      <c r="C623" s="1">
        <v>45740.343007002317</v>
      </c>
      <c r="D623" t="s">
        <v>10</v>
      </c>
      <c r="E623">
        <v>16.079999999999998</v>
      </c>
    </row>
    <row r="624" spans="1:5" x14ac:dyDescent="0.35">
      <c r="A624" t="s">
        <v>895</v>
      </c>
      <c r="B624" t="s">
        <v>896</v>
      </c>
      <c r="C624" s="1">
        <v>45922.343007002317</v>
      </c>
      <c r="D624" t="s">
        <v>10</v>
      </c>
      <c r="E624">
        <v>13.35</v>
      </c>
    </row>
    <row r="625" spans="1:5" x14ac:dyDescent="0.35">
      <c r="A625" t="s">
        <v>897</v>
      </c>
      <c r="B625" t="s">
        <v>898</v>
      </c>
      <c r="C625" s="1">
        <v>45812.343007002317</v>
      </c>
      <c r="D625" t="s">
        <v>50</v>
      </c>
      <c r="E625">
        <v>4.8600000000000003</v>
      </c>
    </row>
    <row r="626" spans="1:5" x14ac:dyDescent="0.35">
      <c r="A626" t="s">
        <v>899</v>
      </c>
      <c r="B626" t="s">
        <v>592</v>
      </c>
      <c r="C626" s="1">
        <v>45896.343007002317</v>
      </c>
      <c r="D626" t="s">
        <v>13</v>
      </c>
      <c r="E626">
        <v>13.05</v>
      </c>
    </row>
    <row r="627" spans="1:5" x14ac:dyDescent="0.35">
      <c r="A627" t="s">
        <v>900</v>
      </c>
      <c r="B627" t="s">
        <v>502</v>
      </c>
      <c r="C627" s="1">
        <v>45727.343007002317</v>
      </c>
      <c r="D627" t="s">
        <v>10</v>
      </c>
      <c r="E627">
        <v>15.38</v>
      </c>
    </row>
    <row r="628" spans="1:5" x14ac:dyDescent="0.35">
      <c r="A628" t="s">
        <v>901</v>
      </c>
      <c r="B628" t="s">
        <v>902</v>
      </c>
      <c r="C628" s="1">
        <v>45887.343007002317</v>
      </c>
      <c r="D628" t="s">
        <v>13</v>
      </c>
      <c r="E628">
        <v>11.65</v>
      </c>
    </row>
    <row r="629" spans="1:5" x14ac:dyDescent="0.35">
      <c r="A629" t="s">
        <v>903</v>
      </c>
      <c r="B629" t="s">
        <v>495</v>
      </c>
      <c r="C629" s="1">
        <v>45665.343007002317</v>
      </c>
      <c r="D629" t="s">
        <v>13</v>
      </c>
      <c r="E629">
        <v>11.17</v>
      </c>
    </row>
    <row r="630" spans="1:5" x14ac:dyDescent="0.35">
      <c r="A630" t="s">
        <v>904</v>
      </c>
      <c r="B630" t="s">
        <v>128</v>
      </c>
      <c r="C630" s="1">
        <v>45847.343007002317</v>
      </c>
      <c r="D630" t="s">
        <v>50</v>
      </c>
      <c r="E630">
        <v>5.68</v>
      </c>
    </row>
    <row r="631" spans="1:5" x14ac:dyDescent="0.35">
      <c r="A631" t="s">
        <v>905</v>
      </c>
      <c r="B631" t="s">
        <v>110</v>
      </c>
      <c r="C631" s="1">
        <v>45870.343007002317</v>
      </c>
      <c r="D631" t="s">
        <v>50</v>
      </c>
      <c r="E631">
        <v>4.29</v>
      </c>
    </row>
    <row r="632" spans="1:5" x14ac:dyDescent="0.35">
      <c r="A632" t="s">
        <v>906</v>
      </c>
      <c r="B632" t="s">
        <v>329</v>
      </c>
      <c r="C632" s="1">
        <v>45959.343007002317</v>
      </c>
      <c r="D632" t="s">
        <v>50</v>
      </c>
      <c r="E632">
        <v>4.8600000000000003</v>
      </c>
    </row>
    <row r="633" spans="1:5" x14ac:dyDescent="0.35">
      <c r="A633" t="s">
        <v>907</v>
      </c>
      <c r="B633" t="s">
        <v>793</v>
      </c>
      <c r="C633" s="1">
        <v>45777.343007002317</v>
      </c>
      <c r="D633" t="s">
        <v>10</v>
      </c>
      <c r="E633">
        <v>17.420000000000002</v>
      </c>
    </row>
    <row r="634" spans="1:5" x14ac:dyDescent="0.35">
      <c r="A634" t="s">
        <v>908</v>
      </c>
      <c r="B634" t="s">
        <v>35</v>
      </c>
      <c r="C634" s="1">
        <v>45762.343007002317</v>
      </c>
      <c r="D634" t="s">
        <v>50</v>
      </c>
      <c r="E634">
        <v>5.69</v>
      </c>
    </row>
    <row r="635" spans="1:5" x14ac:dyDescent="0.35">
      <c r="A635" t="s">
        <v>909</v>
      </c>
      <c r="B635" t="s">
        <v>47</v>
      </c>
      <c r="C635" s="1">
        <v>45686.343007002317</v>
      </c>
      <c r="D635" t="s">
        <v>10</v>
      </c>
      <c r="E635">
        <v>14.41</v>
      </c>
    </row>
    <row r="636" spans="1:5" x14ac:dyDescent="0.35">
      <c r="A636" t="s">
        <v>910</v>
      </c>
      <c r="B636" t="s">
        <v>159</v>
      </c>
      <c r="C636" s="1">
        <v>45797.343007002317</v>
      </c>
      <c r="D636" t="s">
        <v>50</v>
      </c>
      <c r="E636">
        <v>5.53</v>
      </c>
    </row>
    <row r="637" spans="1:5" x14ac:dyDescent="0.35">
      <c r="A637" t="s">
        <v>911</v>
      </c>
      <c r="B637" t="s">
        <v>439</v>
      </c>
      <c r="C637" s="1">
        <v>45941.343007002317</v>
      </c>
      <c r="D637" t="s">
        <v>16</v>
      </c>
      <c r="E637">
        <v>11.29</v>
      </c>
    </row>
    <row r="638" spans="1:5" x14ac:dyDescent="0.35">
      <c r="A638" t="s">
        <v>912</v>
      </c>
      <c r="B638" t="s">
        <v>331</v>
      </c>
      <c r="C638" s="1">
        <v>45614.343007002317</v>
      </c>
      <c r="D638" t="s">
        <v>13</v>
      </c>
      <c r="E638">
        <v>13.87</v>
      </c>
    </row>
    <row r="639" spans="1:5" x14ac:dyDescent="0.35">
      <c r="A639" t="s">
        <v>913</v>
      </c>
      <c r="B639" t="s">
        <v>230</v>
      </c>
      <c r="C639" s="1">
        <v>45634.343007002317</v>
      </c>
      <c r="D639" t="s">
        <v>50</v>
      </c>
      <c r="E639">
        <v>5.09</v>
      </c>
    </row>
    <row r="640" spans="1:5" x14ac:dyDescent="0.35">
      <c r="A640" t="s">
        <v>914</v>
      </c>
      <c r="B640" t="s">
        <v>248</v>
      </c>
      <c r="C640" s="1">
        <v>45721.343007002317</v>
      </c>
      <c r="D640" t="s">
        <v>7</v>
      </c>
      <c r="E640">
        <v>35.270000000000003</v>
      </c>
    </row>
    <row r="641" spans="1:5" x14ac:dyDescent="0.35">
      <c r="A641" t="s">
        <v>915</v>
      </c>
      <c r="B641" t="s">
        <v>682</v>
      </c>
      <c r="C641" s="1">
        <v>45768.343007002317</v>
      </c>
      <c r="D641" t="s">
        <v>13</v>
      </c>
      <c r="E641">
        <v>10.83</v>
      </c>
    </row>
    <row r="642" spans="1:5" x14ac:dyDescent="0.35">
      <c r="A642" t="s">
        <v>916</v>
      </c>
      <c r="B642" t="s">
        <v>497</v>
      </c>
      <c r="C642" s="1">
        <v>45736.343007002317</v>
      </c>
      <c r="D642" t="s">
        <v>13</v>
      </c>
      <c r="E642">
        <v>11.02</v>
      </c>
    </row>
    <row r="643" spans="1:5" x14ac:dyDescent="0.35">
      <c r="A643" t="s">
        <v>917</v>
      </c>
      <c r="B643" t="s">
        <v>918</v>
      </c>
      <c r="C643" s="1">
        <v>45837.343007002317</v>
      </c>
      <c r="D643" t="s">
        <v>50</v>
      </c>
      <c r="E643">
        <v>5.19</v>
      </c>
    </row>
    <row r="644" spans="1:5" x14ac:dyDescent="0.35">
      <c r="A644" t="s">
        <v>919</v>
      </c>
      <c r="B644" t="s">
        <v>434</v>
      </c>
      <c r="C644" s="1">
        <v>45815.343007002317</v>
      </c>
      <c r="D644" t="s">
        <v>29</v>
      </c>
      <c r="E644">
        <v>20.329999999999998</v>
      </c>
    </row>
    <row r="645" spans="1:5" x14ac:dyDescent="0.35">
      <c r="A645" t="s">
        <v>920</v>
      </c>
      <c r="B645" t="s">
        <v>682</v>
      </c>
      <c r="C645" s="1">
        <v>45721.343007002317</v>
      </c>
      <c r="D645" t="s">
        <v>50</v>
      </c>
      <c r="E645">
        <v>5.27</v>
      </c>
    </row>
    <row r="646" spans="1:5" x14ac:dyDescent="0.35">
      <c r="A646" t="s">
        <v>921</v>
      </c>
      <c r="B646" t="s">
        <v>922</v>
      </c>
      <c r="C646" s="1">
        <v>45653.343007002317</v>
      </c>
      <c r="D646" t="s">
        <v>13</v>
      </c>
      <c r="E646">
        <v>11.35</v>
      </c>
    </row>
    <row r="647" spans="1:5" x14ac:dyDescent="0.35">
      <c r="A647" t="s">
        <v>923</v>
      </c>
      <c r="B647" t="s">
        <v>636</v>
      </c>
      <c r="C647" s="1">
        <v>45743.343007002317</v>
      </c>
      <c r="D647" t="s">
        <v>7</v>
      </c>
      <c r="E647">
        <v>36.72</v>
      </c>
    </row>
    <row r="648" spans="1:5" x14ac:dyDescent="0.35">
      <c r="A648" t="s">
        <v>924</v>
      </c>
      <c r="B648" t="s">
        <v>43</v>
      </c>
      <c r="C648" s="1">
        <v>45912.343007002317</v>
      </c>
      <c r="D648" t="s">
        <v>13</v>
      </c>
      <c r="E648">
        <v>13.82</v>
      </c>
    </row>
    <row r="649" spans="1:5" x14ac:dyDescent="0.35">
      <c r="A649" t="s">
        <v>925</v>
      </c>
      <c r="B649" t="s">
        <v>331</v>
      </c>
      <c r="C649" s="1">
        <v>45956.343007002317</v>
      </c>
      <c r="D649" t="s">
        <v>7</v>
      </c>
      <c r="E649">
        <v>39.36</v>
      </c>
    </row>
    <row r="650" spans="1:5" x14ac:dyDescent="0.35">
      <c r="A650" t="s">
        <v>926</v>
      </c>
      <c r="B650" t="s">
        <v>307</v>
      </c>
      <c r="C650" s="1">
        <v>45596.343007002317</v>
      </c>
      <c r="D650" t="s">
        <v>10</v>
      </c>
      <c r="E650">
        <v>12.57</v>
      </c>
    </row>
    <row r="651" spans="1:5" x14ac:dyDescent="0.35">
      <c r="A651" t="s">
        <v>927</v>
      </c>
      <c r="B651" t="s">
        <v>192</v>
      </c>
      <c r="C651" s="1">
        <v>45943.343007002317</v>
      </c>
      <c r="D651" t="s">
        <v>16</v>
      </c>
      <c r="E651">
        <v>11.31</v>
      </c>
    </row>
    <row r="652" spans="1:5" x14ac:dyDescent="0.35">
      <c r="A652" t="s">
        <v>928</v>
      </c>
      <c r="B652" t="s">
        <v>544</v>
      </c>
      <c r="C652" s="1">
        <v>45785.343007002317</v>
      </c>
      <c r="D652" t="s">
        <v>13</v>
      </c>
      <c r="E652">
        <v>9.83</v>
      </c>
    </row>
    <row r="653" spans="1:5" x14ac:dyDescent="0.35">
      <c r="A653" t="s">
        <v>929</v>
      </c>
      <c r="B653" t="s">
        <v>134</v>
      </c>
      <c r="C653" s="1">
        <v>45786.343007002317</v>
      </c>
      <c r="D653" t="s">
        <v>50</v>
      </c>
      <c r="E653">
        <v>5.45</v>
      </c>
    </row>
    <row r="654" spans="1:5" x14ac:dyDescent="0.35">
      <c r="A654" t="s">
        <v>930</v>
      </c>
      <c r="B654" t="s">
        <v>558</v>
      </c>
      <c r="C654" s="1">
        <v>45907.343007002317</v>
      </c>
      <c r="D654" t="s">
        <v>10</v>
      </c>
      <c r="E654">
        <v>16.64</v>
      </c>
    </row>
    <row r="655" spans="1:5" x14ac:dyDescent="0.35">
      <c r="A655" t="s">
        <v>931</v>
      </c>
      <c r="B655" t="s">
        <v>62</v>
      </c>
      <c r="C655" s="1">
        <v>45712.343007002317</v>
      </c>
      <c r="D655" t="s">
        <v>16</v>
      </c>
      <c r="E655">
        <v>9.41</v>
      </c>
    </row>
    <row r="656" spans="1:5" x14ac:dyDescent="0.35">
      <c r="A656" t="s">
        <v>932</v>
      </c>
      <c r="B656" t="s">
        <v>230</v>
      </c>
      <c r="C656" s="1">
        <v>45729.343007002317</v>
      </c>
      <c r="D656" t="s">
        <v>50</v>
      </c>
      <c r="E656">
        <v>5.65</v>
      </c>
    </row>
    <row r="657" spans="1:5" x14ac:dyDescent="0.35">
      <c r="A657" t="s">
        <v>933</v>
      </c>
      <c r="B657" t="s">
        <v>100</v>
      </c>
      <c r="C657" s="1">
        <v>45653.343007002317</v>
      </c>
      <c r="D657" t="s">
        <v>29</v>
      </c>
      <c r="E657">
        <v>25.16</v>
      </c>
    </row>
    <row r="658" spans="1:5" x14ac:dyDescent="0.35">
      <c r="A658" t="s">
        <v>934</v>
      </c>
      <c r="B658" t="s">
        <v>370</v>
      </c>
      <c r="C658" s="1">
        <v>45639.343007002317</v>
      </c>
      <c r="D658" t="s">
        <v>50</v>
      </c>
      <c r="E658">
        <v>4.93</v>
      </c>
    </row>
    <row r="659" spans="1:5" x14ac:dyDescent="0.35">
      <c r="A659" t="s">
        <v>935</v>
      </c>
      <c r="B659" t="s">
        <v>469</v>
      </c>
      <c r="C659" s="1">
        <v>45768.343007002317</v>
      </c>
      <c r="D659" t="s">
        <v>7</v>
      </c>
      <c r="E659">
        <v>32.729999999999997</v>
      </c>
    </row>
    <row r="660" spans="1:5" x14ac:dyDescent="0.35">
      <c r="A660" t="s">
        <v>936</v>
      </c>
      <c r="B660" t="s">
        <v>52</v>
      </c>
      <c r="C660" s="1">
        <v>45755.343007002317</v>
      </c>
      <c r="D660" t="s">
        <v>7</v>
      </c>
      <c r="E660">
        <v>36.64</v>
      </c>
    </row>
    <row r="661" spans="1:5" x14ac:dyDescent="0.35">
      <c r="A661" t="s">
        <v>937</v>
      </c>
      <c r="B661" t="s">
        <v>495</v>
      </c>
      <c r="C661" s="1">
        <v>45768.343007002317</v>
      </c>
      <c r="D661" t="s">
        <v>29</v>
      </c>
      <c r="E661">
        <v>29.31</v>
      </c>
    </row>
    <row r="662" spans="1:5" x14ac:dyDescent="0.35">
      <c r="A662" t="s">
        <v>938</v>
      </c>
      <c r="B662" t="s">
        <v>713</v>
      </c>
      <c r="C662" s="1">
        <v>45912.343007002317</v>
      </c>
      <c r="D662" t="s">
        <v>10</v>
      </c>
      <c r="E662">
        <v>14.35</v>
      </c>
    </row>
    <row r="663" spans="1:5" x14ac:dyDescent="0.35">
      <c r="A663" t="s">
        <v>939</v>
      </c>
      <c r="B663" t="s">
        <v>571</v>
      </c>
      <c r="C663" s="1">
        <v>45898.343007002317</v>
      </c>
      <c r="D663" t="s">
        <v>16</v>
      </c>
      <c r="E663">
        <v>10.19</v>
      </c>
    </row>
    <row r="664" spans="1:5" x14ac:dyDescent="0.35">
      <c r="A664" t="s">
        <v>940</v>
      </c>
      <c r="B664" t="s">
        <v>147</v>
      </c>
      <c r="C664" s="1">
        <v>45744.343007002317</v>
      </c>
      <c r="D664" t="s">
        <v>50</v>
      </c>
      <c r="E664">
        <v>5.0599999999999996</v>
      </c>
    </row>
    <row r="665" spans="1:5" x14ac:dyDescent="0.35">
      <c r="A665" t="s">
        <v>941</v>
      </c>
      <c r="B665" t="s">
        <v>219</v>
      </c>
      <c r="C665" s="1">
        <v>45675.343007002317</v>
      </c>
      <c r="D665" t="s">
        <v>7</v>
      </c>
      <c r="E665">
        <v>41.45</v>
      </c>
    </row>
    <row r="666" spans="1:5" x14ac:dyDescent="0.35">
      <c r="A666" t="s">
        <v>942</v>
      </c>
      <c r="B666" t="s">
        <v>190</v>
      </c>
      <c r="C666" s="1">
        <v>45808.343007002317</v>
      </c>
      <c r="D666" t="s">
        <v>10</v>
      </c>
      <c r="E666">
        <v>12.37</v>
      </c>
    </row>
    <row r="667" spans="1:5" x14ac:dyDescent="0.35">
      <c r="A667" t="s">
        <v>943</v>
      </c>
      <c r="B667" t="s">
        <v>9</v>
      </c>
      <c r="C667" s="1">
        <v>45798.343007002317</v>
      </c>
      <c r="D667" t="s">
        <v>29</v>
      </c>
      <c r="E667">
        <v>23.62</v>
      </c>
    </row>
    <row r="668" spans="1:5" x14ac:dyDescent="0.35">
      <c r="A668" t="s">
        <v>944</v>
      </c>
      <c r="B668" t="s">
        <v>246</v>
      </c>
      <c r="C668" s="1">
        <v>45847.343007002317</v>
      </c>
      <c r="D668" t="s">
        <v>13</v>
      </c>
      <c r="E668">
        <v>13.07</v>
      </c>
    </row>
    <row r="669" spans="1:5" x14ac:dyDescent="0.35">
      <c r="A669" t="s">
        <v>945</v>
      </c>
      <c r="B669" t="s">
        <v>820</v>
      </c>
      <c r="C669" s="1">
        <v>45824.343007002317</v>
      </c>
      <c r="D669" t="s">
        <v>7</v>
      </c>
      <c r="E669">
        <v>35.21</v>
      </c>
    </row>
    <row r="670" spans="1:5" x14ac:dyDescent="0.35">
      <c r="A670" t="s">
        <v>946</v>
      </c>
      <c r="B670" t="s">
        <v>400</v>
      </c>
      <c r="C670" s="1">
        <v>45759.343007002317</v>
      </c>
      <c r="D670" t="s">
        <v>29</v>
      </c>
      <c r="E670">
        <v>22.04</v>
      </c>
    </row>
    <row r="671" spans="1:5" x14ac:dyDescent="0.35">
      <c r="A671" t="s">
        <v>947</v>
      </c>
      <c r="B671" t="s">
        <v>114</v>
      </c>
      <c r="C671" s="1">
        <v>45822.343007002317</v>
      </c>
      <c r="D671" t="s">
        <v>50</v>
      </c>
      <c r="E671">
        <v>4.0199999999999996</v>
      </c>
    </row>
    <row r="672" spans="1:5" x14ac:dyDescent="0.35">
      <c r="A672" t="s">
        <v>948</v>
      </c>
      <c r="B672" t="s">
        <v>134</v>
      </c>
      <c r="C672" s="1">
        <v>45742.343007002317</v>
      </c>
      <c r="D672" t="s">
        <v>16</v>
      </c>
      <c r="E672">
        <v>9.75</v>
      </c>
    </row>
    <row r="673" spans="1:5" x14ac:dyDescent="0.35">
      <c r="A673" t="s">
        <v>949</v>
      </c>
      <c r="B673" t="s">
        <v>804</v>
      </c>
      <c r="C673" s="1">
        <v>45615.343007002317</v>
      </c>
      <c r="D673" t="s">
        <v>7</v>
      </c>
      <c r="E673">
        <v>46.12</v>
      </c>
    </row>
    <row r="674" spans="1:5" x14ac:dyDescent="0.35">
      <c r="A674" t="s">
        <v>950</v>
      </c>
      <c r="B674" t="s">
        <v>795</v>
      </c>
      <c r="C674" s="1">
        <v>45642.343007002317</v>
      </c>
      <c r="D674" t="s">
        <v>7</v>
      </c>
      <c r="E674">
        <v>32.83</v>
      </c>
    </row>
    <row r="675" spans="1:5" x14ac:dyDescent="0.35">
      <c r="A675" t="s">
        <v>951</v>
      </c>
      <c r="B675" t="s">
        <v>952</v>
      </c>
      <c r="C675" s="1">
        <v>45828.343007002317</v>
      </c>
      <c r="D675" t="s">
        <v>50</v>
      </c>
      <c r="E675">
        <v>4.38</v>
      </c>
    </row>
    <row r="676" spans="1:5" x14ac:dyDescent="0.35">
      <c r="A676" t="s">
        <v>953</v>
      </c>
      <c r="B676" t="s">
        <v>250</v>
      </c>
      <c r="C676" s="1">
        <v>45900.343007002317</v>
      </c>
      <c r="D676" t="s">
        <v>13</v>
      </c>
      <c r="E676">
        <v>11.09</v>
      </c>
    </row>
    <row r="677" spans="1:5" x14ac:dyDescent="0.35">
      <c r="A677" t="s">
        <v>954</v>
      </c>
      <c r="B677" t="s">
        <v>606</v>
      </c>
      <c r="C677" s="1">
        <v>45609.343007002317</v>
      </c>
      <c r="D677" t="s">
        <v>10</v>
      </c>
      <c r="E677">
        <v>16.39</v>
      </c>
    </row>
    <row r="678" spans="1:5" x14ac:dyDescent="0.35">
      <c r="A678" t="s">
        <v>955</v>
      </c>
      <c r="B678" t="s">
        <v>323</v>
      </c>
      <c r="C678" s="1">
        <v>45738.343007002317</v>
      </c>
      <c r="D678" t="s">
        <v>16</v>
      </c>
      <c r="E678">
        <v>10.56</v>
      </c>
    </row>
    <row r="679" spans="1:5" x14ac:dyDescent="0.35">
      <c r="A679" t="s">
        <v>956</v>
      </c>
      <c r="B679" t="s">
        <v>331</v>
      </c>
      <c r="C679" s="1">
        <v>45596.343007002317</v>
      </c>
      <c r="D679" t="s">
        <v>7</v>
      </c>
      <c r="E679">
        <v>38.659999999999997</v>
      </c>
    </row>
    <row r="680" spans="1:5" x14ac:dyDescent="0.35">
      <c r="A680" t="s">
        <v>957</v>
      </c>
      <c r="B680" t="s">
        <v>258</v>
      </c>
      <c r="C680" s="1">
        <v>45649.343007002317</v>
      </c>
      <c r="D680" t="s">
        <v>16</v>
      </c>
      <c r="E680">
        <v>11.04</v>
      </c>
    </row>
    <row r="681" spans="1:5" x14ac:dyDescent="0.35">
      <c r="A681" t="s">
        <v>958</v>
      </c>
      <c r="B681" t="s">
        <v>896</v>
      </c>
      <c r="C681" s="1">
        <v>45854.343007002317</v>
      </c>
      <c r="D681" t="s">
        <v>7</v>
      </c>
      <c r="E681">
        <v>41.75</v>
      </c>
    </row>
    <row r="682" spans="1:5" x14ac:dyDescent="0.35">
      <c r="A682" t="s">
        <v>959</v>
      </c>
      <c r="B682" t="s">
        <v>493</v>
      </c>
      <c r="C682" s="1">
        <v>45739.343007002317</v>
      </c>
      <c r="D682" t="s">
        <v>16</v>
      </c>
      <c r="E682">
        <v>11.58</v>
      </c>
    </row>
    <row r="683" spans="1:5" x14ac:dyDescent="0.35">
      <c r="A683" t="s">
        <v>960</v>
      </c>
      <c r="B683" t="s">
        <v>108</v>
      </c>
      <c r="C683" s="1">
        <v>45607.343007002317</v>
      </c>
      <c r="D683" t="s">
        <v>29</v>
      </c>
      <c r="E683">
        <v>28.18</v>
      </c>
    </row>
    <row r="684" spans="1:5" x14ac:dyDescent="0.35">
      <c r="A684" t="s">
        <v>961</v>
      </c>
      <c r="B684" t="s">
        <v>217</v>
      </c>
      <c r="C684" s="1">
        <v>45925.343007002317</v>
      </c>
      <c r="D684" t="s">
        <v>7</v>
      </c>
      <c r="E684">
        <v>36.049999999999997</v>
      </c>
    </row>
    <row r="685" spans="1:5" x14ac:dyDescent="0.35">
      <c r="A685" t="s">
        <v>962</v>
      </c>
      <c r="B685" t="s">
        <v>151</v>
      </c>
      <c r="C685" s="1">
        <v>45819.343007002317</v>
      </c>
      <c r="D685" t="s">
        <v>16</v>
      </c>
      <c r="E685">
        <v>9.09</v>
      </c>
    </row>
    <row r="686" spans="1:5" x14ac:dyDescent="0.35">
      <c r="A686" t="s">
        <v>963</v>
      </c>
      <c r="B686" t="s">
        <v>439</v>
      </c>
      <c r="C686" s="1">
        <v>45867.343007002317</v>
      </c>
      <c r="D686" t="s">
        <v>10</v>
      </c>
      <c r="E686">
        <v>12.75</v>
      </c>
    </row>
    <row r="687" spans="1:5" x14ac:dyDescent="0.35">
      <c r="A687" t="s">
        <v>964</v>
      </c>
      <c r="B687" t="s">
        <v>694</v>
      </c>
      <c r="C687" s="1">
        <v>45953.343007002317</v>
      </c>
      <c r="D687" t="s">
        <v>29</v>
      </c>
      <c r="E687">
        <v>23.37</v>
      </c>
    </row>
    <row r="688" spans="1:5" x14ac:dyDescent="0.35">
      <c r="A688" t="s">
        <v>965</v>
      </c>
      <c r="B688" t="s">
        <v>537</v>
      </c>
      <c r="C688" s="1">
        <v>45751.343007002317</v>
      </c>
      <c r="D688" t="s">
        <v>29</v>
      </c>
      <c r="E688">
        <v>30</v>
      </c>
    </row>
    <row r="689" spans="1:5" x14ac:dyDescent="0.35">
      <c r="A689" t="s">
        <v>966</v>
      </c>
      <c r="B689" t="s">
        <v>378</v>
      </c>
      <c r="C689" s="1">
        <v>45603.343007002317</v>
      </c>
      <c r="D689" t="s">
        <v>10</v>
      </c>
      <c r="E689">
        <v>14.43</v>
      </c>
    </row>
    <row r="690" spans="1:5" x14ac:dyDescent="0.35">
      <c r="A690" t="s">
        <v>967</v>
      </c>
      <c r="B690" t="s">
        <v>469</v>
      </c>
      <c r="C690" s="1">
        <v>45717.343007002317</v>
      </c>
      <c r="D690" t="s">
        <v>16</v>
      </c>
      <c r="E690">
        <v>8.8800000000000008</v>
      </c>
    </row>
    <row r="691" spans="1:5" x14ac:dyDescent="0.35">
      <c r="A691" t="s">
        <v>968</v>
      </c>
      <c r="B691" t="s">
        <v>836</v>
      </c>
      <c r="C691" s="1">
        <v>45943.343007002317</v>
      </c>
      <c r="D691" t="s">
        <v>50</v>
      </c>
      <c r="E691">
        <v>5.52</v>
      </c>
    </row>
    <row r="692" spans="1:5" x14ac:dyDescent="0.35">
      <c r="A692" t="s">
        <v>969</v>
      </c>
      <c r="B692" t="s">
        <v>334</v>
      </c>
      <c r="C692" s="1">
        <v>45759.343007002317</v>
      </c>
      <c r="D692" t="s">
        <v>10</v>
      </c>
      <c r="E692">
        <v>15.25</v>
      </c>
    </row>
    <row r="693" spans="1:5" x14ac:dyDescent="0.35">
      <c r="A693" t="s">
        <v>970</v>
      </c>
      <c r="B693" t="s">
        <v>12</v>
      </c>
      <c r="C693" s="1">
        <v>45685.343007002317</v>
      </c>
      <c r="D693" t="s">
        <v>16</v>
      </c>
      <c r="E693">
        <v>8.6</v>
      </c>
    </row>
    <row r="694" spans="1:5" x14ac:dyDescent="0.35">
      <c r="A694" t="s">
        <v>971</v>
      </c>
      <c r="B694" t="s">
        <v>31</v>
      </c>
      <c r="C694" s="1">
        <v>45731.343007002317</v>
      </c>
      <c r="D694" t="s">
        <v>10</v>
      </c>
      <c r="E694">
        <v>14.28</v>
      </c>
    </row>
    <row r="695" spans="1:5" x14ac:dyDescent="0.35">
      <c r="A695" t="s">
        <v>972</v>
      </c>
      <c r="B695" t="s">
        <v>130</v>
      </c>
      <c r="C695" s="1">
        <v>45781.343007002317</v>
      </c>
      <c r="D695" t="s">
        <v>10</v>
      </c>
      <c r="E695">
        <v>14.49</v>
      </c>
    </row>
    <row r="696" spans="1:5" x14ac:dyDescent="0.35">
      <c r="A696" t="s">
        <v>973</v>
      </c>
      <c r="B696" t="s">
        <v>268</v>
      </c>
      <c r="C696" s="1">
        <v>45911.343007002317</v>
      </c>
      <c r="D696" t="s">
        <v>7</v>
      </c>
      <c r="E696">
        <v>44.06</v>
      </c>
    </row>
    <row r="697" spans="1:5" x14ac:dyDescent="0.35">
      <c r="A697" t="s">
        <v>974</v>
      </c>
      <c r="B697" t="s">
        <v>380</v>
      </c>
      <c r="C697" s="1">
        <v>45773.343007002317</v>
      </c>
      <c r="D697" t="s">
        <v>16</v>
      </c>
      <c r="E697">
        <v>8.08</v>
      </c>
    </row>
    <row r="698" spans="1:5" x14ac:dyDescent="0.35">
      <c r="A698" t="s">
        <v>975</v>
      </c>
      <c r="B698" t="s">
        <v>31</v>
      </c>
      <c r="C698" s="1">
        <v>45623.343007002317</v>
      </c>
      <c r="D698" t="s">
        <v>50</v>
      </c>
      <c r="E698">
        <v>4.54</v>
      </c>
    </row>
    <row r="699" spans="1:5" x14ac:dyDescent="0.35">
      <c r="A699" t="s">
        <v>976</v>
      </c>
      <c r="B699" t="s">
        <v>885</v>
      </c>
      <c r="C699" s="1">
        <v>45815.343007002317</v>
      </c>
      <c r="D699" t="s">
        <v>7</v>
      </c>
      <c r="E699">
        <v>40.28</v>
      </c>
    </row>
    <row r="700" spans="1:5" x14ac:dyDescent="0.35">
      <c r="A700" t="s">
        <v>977</v>
      </c>
      <c r="B700" t="s">
        <v>828</v>
      </c>
      <c r="C700" s="1">
        <v>45952.343007002317</v>
      </c>
      <c r="D700" t="s">
        <v>10</v>
      </c>
      <c r="E700">
        <v>13.61</v>
      </c>
    </row>
    <row r="701" spans="1:5" x14ac:dyDescent="0.35">
      <c r="A701" t="s">
        <v>978</v>
      </c>
      <c r="B701" t="s">
        <v>655</v>
      </c>
      <c r="C701" s="1">
        <v>45636.343007002317</v>
      </c>
      <c r="D701" t="s">
        <v>13</v>
      </c>
      <c r="E701">
        <v>12.62</v>
      </c>
    </row>
    <row r="702" spans="1:5" x14ac:dyDescent="0.35">
      <c r="A702" t="s">
        <v>979</v>
      </c>
      <c r="B702" t="s">
        <v>215</v>
      </c>
      <c r="C702" s="1">
        <v>45823.343007002317</v>
      </c>
      <c r="D702" t="s">
        <v>10</v>
      </c>
      <c r="E702">
        <v>14.89</v>
      </c>
    </row>
    <row r="703" spans="1:5" x14ac:dyDescent="0.35">
      <c r="A703" t="s">
        <v>980</v>
      </c>
      <c r="B703" t="s">
        <v>228</v>
      </c>
      <c r="C703" s="1">
        <v>45787.343007002317</v>
      </c>
      <c r="D703" t="s">
        <v>10</v>
      </c>
      <c r="E703">
        <v>14.17</v>
      </c>
    </row>
    <row r="704" spans="1:5" x14ac:dyDescent="0.35">
      <c r="A704" t="s">
        <v>981</v>
      </c>
      <c r="B704" t="s">
        <v>396</v>
      </c>
      <c r="C704" s="1">
        <v>45740.343007002317</v>
      </c>
      <c r="D704" t="s">
        <v>16</v>
      </c>
      <c r="E704">
        <v>11.8</v>
      </c>
    </row>
    <row r="705" spans="1:5" x14ac:dyDescent="0.35">
      <c r="A705" t="s">
        <v>982</v>
      </c>
      <c r="B705" t="s">
        <v>96</v>
      </c>
      <c r="C705" s="1">
        <v>45796.343007002317</v>
      </c>
      <c r="D705" t="s">
        <v>16</v>
      </c>
      <c r="E705">
        <v>10.53</v>
      </c>
    </row>
    <row r="706" spans="1:5" x14ac:dyDescent="0.35">
      <c r="A706" t="s">
        <v>983</v>
      </c>
      <c r="B706" t="s">
        <v>560</v>
      </c>
      <c r="C706" s="1">
        <v>45807.343007002317</v>
      </c>
      <c r="D706" t="s">
        <v>7</v>
      </c>
      <c r="E706">
        <v>34.08</v>
      </c>
    </row>
    <row r="707" spans="1:5" x14ac:dyDescent="0.35">
      <c r="A707" t="s">
        <v>984</v>
      </c>
      <c r="B707" t="s">
        <v>344</v>
      </c>
      <c r="C707" s="1">
        <v>45815.343007002317</v>
      </c>
      <c r="D707" t="s">
        <v>50</v>
      </c>
      <c r="E707">
        <v>5.12</v>
      </c>
    </row>
    <row r="708" spans="1:5" x14ac:dyDescent="0.35">
      <c r="A708" t="s">
        <v>985</v>
      </c>
      <c r="B708" t="s">
        <v>560</v>
      </c>
      <c r="C708" s="1">
        <v>45835.343007002317</v>
      </c>
      <c r="D708" t="s">
        <v>7</v>
      </c>
      <c r="E708">
        <v>44.49</v>
      </c>
    </row>
    <row r="709" spans="1:5" x14ac:dyDescent="0.35">
      <c r="A709" t="s">
        <v>986</v>
      </c>
      <c r="B709" t="s">
        <v>256</v>
      </c>
      <c r="C709" s="1">
        <v>45641.343007002317</v>
      </c>
      <c r="D709" t="s">
        <v>29</v>
      </c>
      <c r="E709">
        <v>27.08</v>
      </c>
    </row>
    <row r="710" spans="1:5" x14ac:dyDescent="0.35">
      <c r="A710" t="s">
        <v>987</v>
      </c>
      <c r="B710" t="s">
        <v>179</v>
      </c>
      <c r="C710" s="1">
        <v>45630.343007002317</v>
      </c>
      <c r="D710" t="s">
        <v>10</v>
      </c>
      <c r="E710">
        <v>13.03</v>
      </c>
    </row>
    <row r="711" spans="1:5" x14ac:dyDescent="0.35">
      <c r="A711" t="s">
        <v>988</v>
      </c>
      <c r="B711" t="s">
        <v>493</v>
      </c>
      <c r="C711" s="1">
        <v>45848.343007002317</v>
      </c>
      <c r="D711" t="s">
        <v>13</v>
      </c>
      <c r="E711">
        <v>14.27</v>
      </c>
    </row>
    <row r="712" spans="1:5" x14ac:dyDescent="0.35">
      <c r="A712" t="s">
        <v>989</v>
      </c>
      <c r="B712" t="s">
        <v>389</v>
      </c>
      <c r="C712" s="1">
        <v>45677.343007002317</v>
      </c>
      <c r="D712" t="s">
        <v>10</v>
      </c>
      <c r="E712">
        <v>14.69</v>
      </c>
    </row>
    <row r="713" spans="1:5" x14ac:dyDescent="0.35">
      <c r="A713" t="s">
        <v>990</v>
      </c>
      <c r="B713" t="s">
        <v>241</v>
      </c>
      <c r="C713" s="1">
        <v>45851.343007002317</v>
      </c>
      <c r="D713" t="s">
        <v>10</v>
      </c>
      <c r="E713">
        <v>12.95</v>
      </c>
    </row>
    <row r="714" spans="1:5" x14ac:dyDescent="0.35">
      <c r="A714" t="s">
        <v>991</v>
      </c>
      <c r="B714" t="s">
        <v>992</v>
      </c>
      <c r="C714" s="1">
        <v>45792.343007002317</v>
      </c>
      <c r="D714" t="s">
        <v>7</v>
      </c>
      <c r="E714">
        <v>34.880000000000003</v>
      </c>
    </row>
    <row r="715" spans="1:5" x14ac:dyDescent="0.35">
      <c r="A715" t="s">
        <v>993</v>
      </c>
      <c r="B715" t="s">
        <v>173</v>
      </c>
      <c r="C715" s="1">
        <v>45898.343007002317</v>
      </c>
      <c r="D715" t="s">
        <v>13</v>
      </c>
      <c r="E715">
        <v>10.07</v>
      </c>
    </row>
    <row r="716" spans="1:5" x14ac:dyDescent="0.35">
      <c r="A716" t="s">
        <v>994</v>
      </c>
      <c r="B716" t="s">
        <v>995</v>
      </c>
      <c r="C716" s="1">
        <v>45605.343007002317</v>
      </c>
      <c r="D716" t="s">
        <v>13</v>
      </c>
      <c r="E716">
        <v>13.46</v>
      </c>
    </row>
    <row r="717" spans="1:5" x14ac:dyDescent="0.35">
      <c r="A717" t="s">
        <v>996</v>
      </c>
      <c r="B717" t="s">
        <v>409</v>
      </c>
      <c r="C717" s="1">
        <v>45907.343007002317</v>
      </c>
      <c r="D717" t="s">
        <v>13</v>
      </c>
      <c r="E717">
        <v>10.19</v>
      </c>
    </row>
    <row r="718" spans="1:5" x14ac:dyDescent="0.35">
      <c r="A718" t="s">
        <v>997</v>
      </c>
      <c r="B718" t="s">
        <v>618</v>
      </c>
      <c r="C718" s="1">
        <v>45881.343007002317</v>
      </c>
      <c r="D718" t="s">
        <v>7</v>
      </c>
      <c r="E718">
        <v>34</v>
      </c>
    </row>
    <row r="719" spans="1:5" x14ac:dyDescent="0.35">
      <c r="A719" t="s">
        <v>998</v>
      </c>
      <c r="B719" t="s">
        <v>98</v>
      </c>
      <c r="C719" s="1">
        <v>45837.343007002317</v>
      </c>
      <c r="D719" t="s">
        <v>10</v>
      </c>
      <c r="E719">
        <v>17.100000000000001</v>
      </c>
    </row>
    <row r="720" spans="1:5" x14ac:dyDescent="0.35">
      <c r="A720" t="s">
        <v>999</v>
      </c>
      <c r="B720" t="s">
        <v>1000</v>
      </c>
      <c r="C720" s="1">
        <v>45846.343007002317</v>
      </c>
      <c r="D720" t="s">
        <v>7</v>
      </c>
      <c r="E720">
        <v>37.51</v>
      </c>
    </row>
    <row r="721" spans="1:5" x14ac:dyDescent="0.35">
      <c r="A721" t="s">
        <v>1001</v>
      </c>
      <c r="B721" t="s">
        <v>398</v>
      </c>
      <c r="C721" s="1">
        <v>45960.343007002317</v>
      </c>
      <c r="D721" t="s">
        <v>16</v>
      </c>
      <c r="E721">
        <v>8.1199999999999992</v>
      </c>
    </row>
    <row r="722" spans="1:5" x14ac:dyDescent="0.35">
      <c r="A722" t="s">
        <v>1002</v>
      </c>
      <c r="B722" t="s">
        <v>305</v>
      </c>
      <c r="C722" s="1">
        <v>45600.343007002317</v>
      </c>
      <c r="D722" t="s">
        <v>16</v>
      </c>
      <c r="E722">
        <v>8.2100000000000009</v>
      </c>
    </row>
    <row r="723" spans="1:5" x14ac:dyDescent="0.35">
      <c r="A723" t="s">
        <v>1003</v>
      </c>
      <c r="B723" t="s">
        <v>284</v>
      </c>
      <c r="C723" s="1">
        <v>45714.343007002317</v>
      </c>
      <c r="D723" t="s">
        <v>7</v>
      </c>
      <c r="E723">
        <v>34.270000000000003</v>
      </c>
    </row>
    <row r="724" spans="1:5" x14ac:dyDescent="0.35">
      <c r="A724" t="s">
        <v>1004</v>
      </c>
      <c r="B724" t="s">
        <v>742</v>
      </c>
      <c r="C724" s="1">
        <v>45884.343007002317</v>
      </c>
      <c r="D724" t="s">
        <v>13</v>
      </c>
      <c r="E724">
        <v>10.62</v>
      </c>
    </row>
    <row r="725" spans="1:5" x14ac:dyDescent="0.35">
      <c r="A725" t="s">
        <v>1005</v>
      </c>
      <c r="B725" t="s">
        <v>429</v>
      </c>
      <c r="C725" s="1">
        <v>45660.343007002317</v>
      </c>
      <c r="D725" t="s">
        <v>10</v>
      </c>
      <c r="E725">
        <v>15.99</v>
      </c>
    </row>
    <row r="726" spans="1:5" x14ac:dyDescent="0.35">
      <c r="A726" t="s">
        <v>1006</v>
      </c>
      <c r="B726" t="s">
        <v>337</v>
      </c>
      <c r="C726" s="1">
        <v>45741.343007002317</v>
      </c>
      <c r="D726" t="s">
        <v>7</v>
      </c>
      <c r="E726">
        <v>34.520000000000003</v>
      </c>
    </row>
    <row r="727" spans="1:5" x14ac:dyDescent="0.35">
      <c r="A727" t="s">
        <v>1007</v>
      </c>
      <c r="B727" t="s">
        <v>246</v>
      </c>
      <c r="C727" s="1">
        <v>45819.343007002317</v>
      </c>
      <c r="D727" t="s">
        <v>7</v>
      </c>
      <c r="E727">
        <v>33.9</v>
      </c>
    </row>
    <row r="728" spans="1:5" x14ac:dyDescent="0.35">
      <c r="A728" t="s">
        <v>1008</v>
      </c>
      <c r="B728" t="s">
        <v>179</v>
      </c>
      <c r="C728" s="1">
        <v>45834.343007002317</v>
      </c>
      <c r="D728" t="s">
        <v>7</v>
      </c>
      <c r="E728">
        <v>44.24</v>
      </c>
    </row>
    <row r="729" spans="1:5" x14ac:dyDescent="0.35">
      <c r="A729" t="s">
        <v>1009</v>
      </c>
      <c r="B729" t="s">
        <v>54</v>
      </c>
      <c r="C729" s="1">
        <v>45772.343007002317</v>
      </c>
      <c r="D729" t="s">
        <v>29</v>
      </c>
      <c r="E729">
        <v>26.71</v>
      </c>
    </row>
    <row r="730" spans="1:5" x14ac:dyDescent="0.35">
      <c r="A730" t="s">
        <v>1010</v>
      </c>
      <c r="B730" t="s">
        <v>891</v>
      </c>
      <c r="C730" s="1">
        <v>45862.343007002317</v>
      </c>
      <c r="D730" t="s">
        <v>16</v>
      </c>
      <c r="E730">
        <v>9.74</v>
      </c>
    </row>
    <row r="731" spans="1:5" x14ac:dyDescent="0.35">
      <c r="A731" t="s">
        <v>1011</v>
      </c>
      <c r="B731" t="s">
        <v>1012</v>
      </c>
      <c r="C731" s="1">
        <v>45936.343007002317</v>
      </c>
      <c r="D731" t="s">
        <v>13</v>
      </c>
      <c r="E731">
        <v>12.24</v>
      </c>
    </row>
    <row r="732" spans="1:5" x14ac:dyDescent="0.35">
      <c r="A732" t="s">
        <v>1013</v>
      </c>
      <c r="B732" t="s">
        <v>72</v>
      </c>
      <c r="C732" s="1">
        <v>45877.343007002317</v>
      </c>
      <c r="D732" t="s">
        <v>50</v>
      </c>
      <c r="E732">
        <v>4.62</v>
      </c>
    </row>
    <row r="733" spans="1:5" x14ac:dyDescent="0.35">
      <c r="A733" t="s">
        <v>1014</v>
      </c>
      <c r="B733" t="s">
        <v>157</v>
      </c>
      <c r="C733" s="1">
        <v>45658.343007002317</v>
      </c>
      <c r="D733" t="s">
        <v>13</v>
      </c>
      <c r="E733">
        <v>11.92</v>
      </c>
    </row>
    <row r="734" spans="1:5" x14ac:dyDescent="0.35">
      <c r="A734" t="s">
        <v>1015</v>
      </c>
      <c r="B734" t="s">
        <v>902</v>
      </c>
      <c r="C734" s="1">
        <v>45812.343007002317</v>
      </c>
      <c r="D734" t="s">
        <v>50</v>
      </c>
      <c r="E734">
        <v>5.01</v>
      </c>
    </row>
    <row r="735" spans="1:5" x14ac:dyDescent="0.35">
      <c r="A735" t="s">
        <v>1016</v>
      </c>
      <c r="B735" t="s">
        <v>213</v>
      </c>
      <c r="C735" s="1">
        <v>45937.343007002317</v>
      </c>
      <c r="D735" t="s">
        <v>29</v>
      </c>
      <c r="E735">
        <v>23.87</v>
      </c>
    </row>
    <row r="736" spans="1:5" x14ac:dyDescent="0.35">
      <c r="A736" t="s">
        <v>1017</v>
      </c>
      <c r="B736" t="s">
        <v>454</v>
      </c>
      <c r="C736" s="1">
        <v>45910.343007002317</v>
      </c>
      <c r="D736" t="s">
        <v>7</v>
      </c>
      <c r="E736">
        <v>46.51</v>
      </c>
    </row>
    <row r="737" spans="1:5" x14ac:dyDescent="0.35">
      <c r="A737" t="s">
        <v>1018</v>
      </c>
      <c r="B737" t="s">
        <v>1019</v>
      </c>
      <c r="C737" s="1">
        <v>45878.343007002317</v>
      </c>
      <c r="D737" t="s">
        <v>29</v>
      </c>
      <c r="E737">
        <v>20.16</v>
      </c>
    </row>
    <row r="738" spans="1:5" x14ac:dyDescent="0.35">
      <c r="A738" t="s">
        <v>1020</v>
      </c>
      <c r="B738" t="s">
        <v>411</v>
      </c>
      <c r="C738" s="1">
        <v>45772.343007002317</v>
      </c>
      <c r="D738" t="s">
        <v>29</v>
      </c>
      <c r="E738">
        <v>27.82</v>
      </c>
    </row>
    <row r="739" spans="1:5" x14ac:dyDescent="0.35">
      <c r="A739" t="s">
        <v>1021</v>
      </c>
      <c r="B739" t="s">
        <v>272</v>
      </c>
      <c r="C739" s="1">
        <v>45693.343007002317</v>
      </c>
      <c r="D739" t="s">
        <v>10</v>
      </c>
      <c r="E739">
        <v>12.75</v>
      </c>
    </row>
    <row r="740" spans="1:5" x14ac:dyDescent="0.35">
      <c r="A740" t="s">
        <v>1022</v>
      </c>
      <c r="B740" t="s">
        <v>898</v>
      </c>
      <c r="C740" s="1">
        <v>45700.343007002317</v>
      </c>
      <c r="D740" t="s">
        <v>16</v>
      </c>
      <c r="E740">
        <v>11.19</v>
      </c>
    </row>
    <row r="741" spans="1:5" x14ac:dyDescent="0.35">
      <c r="A741" t="s">
        <v>1023</v>
      </c>
      <c r="B741" t="s">
        <v>279</v>
      </c>
      <c r="C741" s="1">
        <v>45694.343007002317</v>
      </c>
      <c r="D741" t="s">
        <v>50</v>
      </c>
      <c r="E741">
        <v>5.23</v>
      </c>
    </row>
    <row r="742" spans="1:5" x14ac:dyDescent="0.35">
      <c r="A742" t="s">
        <v>1024</v>
      </c>
      <c r="B742" t="s">
        <v>368</v>
      </c>
      <c r="C742" s="1">
        <v>45906.343007002317</v>
      </c>
      <c r="D742" t="s">
        <v>7</v>
      </c>
      <c r="E742">
        <v>45.49</v>
      </c>
    </row>
    <row r="743" spans="1:5" x14ac:dyDescent="0.35">
      <c r="A743" t="s">
        <v>1025</v>
      </c>
      <c r="B743" t="s">
        <v>723</v>
      </c>
      <c r="C743" s="1">
        <v>45601.343007002317</v>
      </c>
      <c r="D743" t="s">
        <v>50</v>
      </c>
      <c r="E743">
        <v>4.2</v>
      </c>
    </row>
    <row r="744" spans="1:5" x14ac:dyDescent="0.35">
      <c r="A744" t="s">
        <v>1026</v>
      </c>
      <c r="B744" t="s">
        <v>528</v>
      </c>
      <c r="C744" s="1">
        <v>45792.343007002317</v>
      </c>
      <c r="D744" t="s">
        <v>13</v>
      </c>
      <c r="E744">
        <v>12.28</v>
      </c>
    </row>
    <row r="745" spans="1:5" x14ac:dyDescent="0.35">
      <c r="A745" t="s">
        <v>1027</v>
      </c>
      <c r="B745" t="s">
        <v>248</v>
      </c>
      <c r="C745" s="1">
        <v>45946.343007002317</v>
      </c>
      <c r="D745" t="s">
        <v>50</v>
      </c>
      <c r="E745">
        <v>5</v>
      </c>
    </row>
    <row r="746" spans="1:5" x14ac:dyDescent="0.35">
      <c r="A746" t="s">
        <v>1028</v>
      </c>
      <c r="B746" t="s">
        <v>159</v>
      </c>
      <c r="C746" s="1">
        <v>45728.343007002317</v>
      </c>
      <c r="D746" t="s">
        <v>13</v>
      </c>
      <c r="E746">
        <v>12.99</v>
      </c>
    </row>
    <row r="747" spans="1:5" x14ac:dyDescent="0.35">
      <c r="A747" t="s">
        <v>1029</v>
      </c>
      <c r="B747" t="s">
        <v>1030</v>
      </c>
      <c r="C747" s="1">
        <v>45953.343007002317</v>
      </c>
      <c r="D747" t="s">
        <v>16</v>
      </c>
      <c r="E747">
        <v>10.14</v>
      </c>
    </row>
    <row r="748" spans="1:5" x14ac:dyDescent="0.35">
      <c r="A748" t="s">
        <v>1031</v>
      </c>
      <c r="B748" t="s">
        <v>694</v>
      </c>
      <c r="C748" s="1">
        <v>45854.343007002317</v>
      </c>
      <c r="D748" t="s">
        <v>13</v>
      </c>
      <c r="E748">
        <v>12.2</v>
      </c>
    </row>
    <row r="749" spans="1:5" x14ac:dyDescent="0.35">
      <c r="A749" t="s">
        <v>1032</v>
      </c>
      <c r="B749" t="s">
        <v>92</v>
      </c>
      <c r="C749" s="1">
        <v>45618.343007002317</v>
      </c>
      <c r="D749" t="s">
        <v>50</v>
      </c>
      <c r="E749">
        <v>4.8600000000000003</v>
      </c>
    </row>
    <row r="750" spans="1:5" x14ac:dyDescent="0.35">
      <c r="A750" t="s">
        <v>1033</v>
      </c>
      <c r="B750" t="s">
        <v>179</v>
      </c>
      <c r="C750" s="1">
        <v>45648.343007002317</v>
      </c>
      <c r="D750" t="s">
        <v>50</v>
      </c>
      <c r="E750">
        <v>4.62</v>
      </c>
    </row>
    <row r="751" spans="1:5" x14ac:dyDescent="0.35">
      <c r="A751" t="s">
        <v>1034</v>
      </c>
      <c r="B751" t="s">
        <v>752</v>
      </c>
      <c r="C751" s="1">
        <v>45760.343007002317</v>
      </c>
      <c r="D751" t="s">
        <v>13</v>
      </c>
      <c r="E751">
        <v>11.91</v>
      </c>
    </row>
    <row r="752" spans="1:5" x14ac:dyDescent="0.35">
      <c r="A752" t="s">
        <v>1035</v>
      </c>
      <c r="B752" t="s">
        <v>448</v>
      </c>
      <c r="C752" s="1">
        <v>45797.343007002317</v>
      </c>
      <c r="D752" t="s">
        <v>29</v>
      </c>
      <c r="E752">
        <v>21.18</v>
      </c>
    </row>
    <row r="753" spans="1:5" x14ac:dyDescent="0.35">
      <c r="A753" t="s">
        <v>1036</v>
      </c>
      <c r="B753" t="s">
        <v>102</v>
      </c>
      <c r="C753" s="1">
        <v>45678.343007002317</v>
      </c>
      <c r="D753" t="s">
        <v>16</v>
      </c>
      <c r="E753">
        <v>11.85</v>
      </c>
    </row>
    <row r="754" spans="1:5" x14ac:dyDescent="0.35">
      <c r="A754" t="s">
        <v>1037</v>
      </c>
      <c r="B754" t="s">
        <v>487</v>
      </c>
      <c r="C754" s="1">
        <v>45740.343007002317</v>
      </c>
      <c r="D754" t="s">
        <v>10</v>
      </c>
      <c r="E754">
        <v>16.29</v>
      </c>
    </row>
    <row r="755" spans="1:5" x14ac:dyDescent="0.35">
      <c r="A755" t="s">
        <v>1038</v>
      </c>
      <c r="B755" t="s">
        <v>337</v>
      </c>
      <c r="C755" s="1">
        <v>45680.343007002317</v>
      </c>
      <c r="D755" t="s">
        <v>7</v>
      </c>
      <c r="E755">
        <v>47.24</v>
      </c>
    </row>
    <row r="756" spans="1:5" x14ac:dyDescent="0.35">
      <c r="A756" t="s">
        <v>1039</v>
      </c>
      <c r="B756" t="s">
        <v>86</v>
      </c>
      <c r="C756" s="1">
        <v>45673.343007002317</v>
      </c>
      <c r="D756" t="s">
        <v>50</v>
      </c>
      <c r="E756">
        <v>4.45</v>
      </c>
    </row>
    <row r="757" spans="1:5" x14ac:dyDescent="0.35">
      <c r="A757" t="s">
        <v>1040</v>
      </c>
      <c r="B757" t="s">
        <v>317</v>
      </c>
      <c r="C757" s="1">
        <v>45596.343007002317</v>
      </c>
      <c r="D757" t="s">
        <v>7</v>
      </c>
      <c r="E757">
        <v>46.07</v>
      </c>
    </row>
    <row r="758" spans="1:5" x14ac:dyDescent="0.35">
      <c r="A758" t="s">
        <v>1041</v>
      </c>
      <c r="B758" t="s">
        <v>441</v>
      </c>
      <c r="C758" s="1">
        <v>45646.343007002317</v>
      </c>
      <c r="D758" t="s">
        <v>10</v>
      </c>
      <c r="E758">
        <v>16.850000000000001</v>
      </c>
    </row>
    <row r="759" spans="1:5" x14ac:dyDescent="0.35">
      <c r="A759" t="s">
        <v>1042</v>
      </c>
      <c r="B759" t="s">
        <v>870</v>
      </c>
      <c r="C759" s="1">
        <v>45768.343007002317</v>
      </c>
      <c r="D759" t="s">
        <v>7</v>
      </c>
      <c r="E759">
        <v>42.83</v>
      </c>
    </row>
    <row r="760" spans="1:5" x14ac:dyDescent="0.35">
      <c r="A760" t="s">
        <v>1043</v>
      </c>
      <c r="B760" t="s">
        <v>114</v>
      </c>
      <c r="C760" s="1">
        <v>45800.343007002317</v>
      </c>
      <c r="D760" t="s">
        <v>10</v>
      </c>
      <c r="E760">
        <v>15.75</v>
      </c>
    </row>
    <row r="761" spans="1:5" x14ac:dyDescent="0.35">
      <c r="A761" t="s">
        <v>1044</v>
      </c>
      <c r="B761" t="s">
        <v>183</v>
      </c>
      <c r="C761" s="1">
        <v>45855.343007002317</v>
      </c>
      <c r="D761" t="s">
        <v>13</v>
      </c>
      <c r="E761">
        <v>11.12</v>
      </c>
    </row>
    <row r="762" spans="1:5" x14ac:dyDescent="0.35">
      <c r="A762" t="s">
        <v>1045</v>
      </c>
      <c r="B762" t="s">
        <v>349</v>
      </c>
      <c r="C762" s="1">
        <v>45883.343007002317</v>
      </c>
      <c r="D762" t="s">
        <v>29</v>
      </c>
      <c r="E762">
        <v>28.16</v>
      </c>
    </row>
    <row r="763" spans="1:5" x14ac:dyDescent="0.35">
      <c r="A763" t="s">
        <v>1046</v>
      </c>
      <c r="B763" t="s">
        <v>1047</v>
      </c>
      <c r="C763" s="1">
        <v>45629.343007002317</v>
      </c>
      <c r="D763" t="s">
        <v>50</v>
      </c>
      <c r="E763">
        <v>5</v>
      </c>
    </row>
    <row r="764" spans="1:5" x14ac:dyDescent="0.35">
      <c r="A764" t="s">
        <v>1048</v>
      </c>
      <c r="B764" t="s">
        <v>1049</v>
      </c>
      <c r="C764" s="1">
        <v>45943.343007002317</v>
      </c>
      <c r="D764" t="s">
        <v>10</v>
      </c>
      <c r="E764">
        <v>12.43</v>
      </c>
    </row>
    <row r="765" spans="1:5" x14ac:dyDescent="0.35">
      <c r="A765" t="s">
        <v>1050</v>
      </c>
      <c r="B765" t="s">
        <v>344</v>
      </c>
      <c r="C765" s="1">
        <v>45690.343007002317</v>
      </c>
      <c r="D765" t="s">
        <v>7</v>
      </c>
      <c r="E765">
        <v>37.01</v>
      </c>
    </row>
    <row r="766" spans="1:5" x14ac:dyDescent="0.35">
      <c r="A766" t="s">
        <v>1051</v>
      </c>
      <c r="B766" t="s">
        <v>1052</v>
      </c>
      <c r="C766" s="1">
        <v>45667.343007002317</v>
      </c>
      <c r="D766" t="s">
        <v>50</v>
      </c>
      <c r="E766">
        <v>5.87</v>
      </c>
    </row>
    <row r="767" spans="1:5" x14ac:dyDescent="0.35">
      <c r="A767" t="s">
        <v>1053</v>
      </c>
      <c r="B767" t="s">
        <v>96</v>
      </c>
      <c r="C767" s="1">
        <v>45634.343007002317</v>
      </c>
      <c r="D767" t="s">
        <v>29</v>
      </c>
      <c r="E767">
        <v>28.51</v>
      </c>
    </row>
    <row r="768" spans="1:5" x14ac:dyDescent="0.35">
      <c r="A768" t="s">
        <v>1054</v>
      </c>
      <c r="B768" t="s">
        <v>400</v>
      </c>
      <c r="C768" s="1">
        <v>45749.343007002317</v>
      </c>
      <c r="D768" t="s">
        <v>13</v>
      </c>
      <c r="E768">
        <v>14.31</v>
      </c>
    </row>
    <row r="769" spans="1:5" x14ac:dyDescent="0.35">
      <c r="A769" t="s">
        <v>1055</v>
      </c>
      <c r="B769" t="s">
        <v>213</v>
      </c>
      <c r="C769" s="1">
        <v>45845.343007002317</v>
      </c>
      <c r="D769" t="s">
        <v>50</v>
      </c>
      <c r="E769">
        <v>5.26</v>
      </c>
    </row>
    <row r="770" spans="1:5" x14ac:dyDescent="0.35">
      <c r="A770" t="s">
        <v>1056</v>
      </c>
      <c r="B770" t="s">
        <v>469</v>
      </c>
      <c r="C770" s="1">
        <v>45757.343007002317</v>
      </c>
      <c r="D770" t="s">
        <v>10</v>
      </c>
      <c r="E770">
        <v>13.49</v>
      </c>
    </row>
    <row r="771" spans="1:5" x14ac:dyDescent="0.35">
      <c r="A771" t="s">
        <v>1057</v>
      </c>
      <c r="B771" t="s">
        <v>130</v>
      </c>
      <c r="C771" s="1">
        <v>45713.343007002317</v>
      </c>
      <c r="D771" t="s">
        <v>29</v>
      </c>
      <c r="E771">
        <v>21.63</v>
      </c>
    </row>
    <row r="772" spans="1:5" x14ac:dyDescent="0.35">
      <c r="A772" t="s">
        <v>1058</v>
      </c>
      <c r="B772" t="s">
        <v>96</v>
      </c>
      <c r="C772" s="1">
        <v>45854.343007002317</v>
      </c>
      <c r="D772" t="s">
        <v>7</v>
      </c>
      <c r="E772">
        <v>34.99</v>
      </c>
    </row>
    <row r="773" spans="1:5" x14ac:dyDescent="0.35">
      <c r="A773" t="s">
        <v>1059</v>
      </c>
      <c r="B773" t="s">
        <v>136</v>
      </c>
      <c r="C773" s="1">
        <v>45901.343007002317</v>
      </c>
      <c r="D773" t="s">
        <v>29</v>
      </c>
      <c r="E773">
        <v>20.2</v>
      </c>
    </row>
    <row r="774" spans="1:5" x14ac:dyDescent="0.35">
      <c r="A774" t="s">
        <v>1060</v>
      </c>
      <c r="B774" t="s">
        <v>31</v>
      </c>
      <c r="C774" s="1">
        <v>45863.343007002317</v>
      </c>
      <c r="D774" t="s">
        <v>29</v>
      </c>
      <c r="E774">
        <v>23.91</v>
      </c>
    </row>
    <row r="775" spans="1:5" x14ac:dyDescent="0.35">
      <c r="A775" t="s">
        <v>1061</v>
      </c>
      <c r="B775" t="s">
        <v>28</v>
      </c>
      <c r="C775" s="1">
        <v>45649.343007002317</v>
      </c>
      <c r="D775" t="s">
        <v>16</v>
      </c>
      <c r="E775">
        <v>8.77</v>
      </c>
    </row>
    <row r="776" spans="1:5" x14ac:dyDescent="0.35">
      <c r="A776" t="s">
        <v>1062</v>
      </c>
      <c r="B776" t="s">
        <v>136</v>
      </c>
      <c r="C776" s="1">
        <v>45831.343007002317</v>
      </c>
      <c r="D776" t="s">
        <v>29</v>
      </c>
      <c r="E776">
        <v>24.12</v>
      </c>
    </row>
    <row r="777" spans="1:5" x14ac:dyDescent="0.35">
      <c r="A777" t="s">
        <v>1063</v>
      </c>
      <c r="B777" t="s">
        <v>112</v>
      </c>
      <c r="C777" s="1">
        <v>45817.343007002317</v>
      </c>
      <c r="D777" t="s">
        <v>29</v>
      </c>
      <c r="E777">
        <v>29.35</v>
      </c>
    </row>
    <row r="778" spans="1:5" x14ac:dyDescent="0.35">
      <c r="A778" t="s">
        <v>1064</v>
      </c>
      <c r="B778" t="s">
        <v>1065</v>
      </c>
      <c r="C778" s="1">
        <v>45846.343007002317</v>
      </c>
      <c r="D778" t="s">
        <v>50</v>
      </c>
      <c r="E778">
        <v>4.8600000000000003</v>
      </c>
    </row>
    <row r="779" spans="1:5" x14ac:dyDescent="0.35">
      <c r="A779" t="s">
        <v>1066</v>
      </c>
      <c r="B779" t="s">
        <v>1030</v>
      </c>
      <c r="C779" s="1">
        <v>45908.343007002317</v>
      </c>
      <c r="D779" t="s">
        <v>7</v>
      </c>
      <c r="E779">
        <v>46.05</v>
      </c>
    </row>
    <row r="780" spans="1:5" x14ac:dyDescent="0.35">
      <c r="A780" t="s">
        <v>1067</v>
      </c>
      <c r="B780" t="s">
        <v>809</v>
      </c>
      <c r="C780" s="1">
        <v>45707.343007002317</v>
      </c>
      <c r="D780" t="s">
        <v>50</v>
      </c>
      <c r="E780">
        <v>5.21</v>
      </c>
    </row>
    <row r="781" spans="1:5" x14ac:dyDescent="0.35">
      <c r="A781" t="s">
        <v>1068</v>
      </c>
      <c r="B781" t="s">
        <v>64</v>
      </c>
      <c r="C781" s="1">
        <v>45850.343007002317</v>
      </c>
      <c r="D781" t="s">
        <v>50</v>
      </c>
      <c r="E781">
        <v>4.49</v>
      </c>
    </row>
    <row r="782" spans="1:5" x14ac:dyDescent="0.35">
      <c r="A782" t="s">
        <v>1069</v>
      </c>
      <c r="B782" t="s">
        <v>18</v>
      </c>
      <c r="C782" s="1">
        <v>45898.343007002317</v>
      </c>
      <c r="D782" t="s">
        <v>10</v>
      </c>
      <c r="E782">
        <v>14.14</v>
      </c>
    </row>
    <row r="783" spans="1:5" x14ac:dyDescent="0.35">
      <c r="A783" t="s">
        <v>1070</v>
      </c>
      <c r="B783" t="s">
        <v>511</v>
      </c>
      <c r="C783" s="1">
        <v>45802.343007002317</v>
      </c>
      <c r="D783" t="s">
        <v>50</v>
      </c>
      <c r="E783">
        <v>4.17</v>
      </c>
    </row>
    <row r="784" spans="1:5" x14ac:dyDescent="0.35">
      <c r="A784" t="s">
        <v>1071</v>
      </c>
      <c r="B784" t="s">
        <v>221</v>
      </c>
      <c r="C784" s="1">
        <v>45824.343007002317</v>
      </c>
      <c r="D784" t="s">
        <v>16</v>
      </c>
      <c r="E784">
        <v>9.33</v>
      </c>
    </row>
    <row r="785" spans="1:5" x14ac:dyDescent="0.35">
      <c r="A785" t="s">
        <v>1072</v>
      </c>
      <c r="B785" t="s">
        <v>15</v>
      </c>
      <c r="C785" s="1">
        <v>45936.343007002317</v>
      </c>
      <c r="D785" t="s">
        <v>16</v>
      </c>
      <c r="E785">
        <v>10.71</v>
      </c>
    </row>
    <row r="786" spans="1:5" x14ac:dyDescent="0.35">
      <c r="A786" t="s">
        <v>1073</v>
      </c>
      <c r="B786" t="s">
        <v>407</v>
      </c>
      <c r="C786" s="1">
        <v>45661.343007002317</v>
      </c>
      <c r="D786" t="s">
        <v>10</v>
      </c>
      <c r="E786">
        <v>12.43</v>
      </c>
    </row>
    <row r="787" spans="1:5" x14ac:dyDescent="0.35">
      <c r="A787" t="s">
        <v>1074</v>
      </c>
      <c r="B787" t="s">
        <v>153</v>
      </c>
      <c r="C787" s="1">
        <v>45670.343007002317</v>
      </c>
      <c r="D787" t="s">
        <v>13</v>
      </c>
      <c r="E787">
        <v>10.59</v>
      </c>
    </row>
    <row r="788" spans="1:5" x14ac:dyDescent="0.35">
      <c r="A788" t="s">
        <v>1075</v>
      </c>
      <c r="B788" t="s">
        <v>66</v>
      </c>
      <c r="C788" s="1">
        <v>45698.343007002317</v>
      </c>
      <c r="D788" t="s">
        <v>7</v>
      </c>
      <c r="E788">
        <v>38.1</v>
      </c>
    </row>
    <row r="789" spans="1:5" x14ac:dyDescent="0.35">
      <c r="A789" t="s">
        <v>1076</v>
      </c>
      <c r="B789" t="s">
        <v>571</v>
      </c>
      <c r="C789" s="1">
        <v>45787.343007002317</v>
      </c>
      <c r="D789" t="s">
        <v>7</v>
      </c>
      <c r="E789">
        <v>47.71</v>
      </c>
    </row>
    <row r="790" spans="1:5" x14ac:dyDescent="0.35">
      <c r="A790" t="s">
        <v>1077</v>
      </c>
      <c r="B790" t="s">
        <v>891</v>
      </c>
      <c r="C790" s="1">
        <v>45847.343007002317</v>
      </c>
      <c r="D790" t="s">
        <v>50</v>
      </c>
      <c r="E790">
        <v>5.57</v>
      </c>
    </row>
    <row r="791" spans="1:5" x14ac:dyDescent="0.35">
      <c r="A791" t="s">
        <v>1078</v>
      </c>
      <c r="B791" t="s">
        <v>340</v>
      </c>
      <c r="C791" s="1">
        <v>45821.343007002317</v>
      </c>
      <c r="D791" t="s">
        <v>50</v>
      </c>
      <c r="E791">
        <v>5.47</v>
      </c>
    </row>
    <row r="792" spans="1:5" x14ac:dyDescent="0.35">
      <c r="A792" t="s">
        <v>1079</v>
      </c>
      <c r="B792" t="s">
        <v>233</v>
      </c>
      <c r="C792" s="1">
        <v>45889.343007002317</v>
      </c>
      <c r="D792" t="s">
        <v>13</v>
      </c>
      <c r="E792">
        <v>10.16</v>
      </c>
    </row>
    <row r="793" spans="1:5" x14ac:dyDescent="0.35">
      <c r="A793" t="s">
        <v>1080</v>
      </c>
      <c r="B793" t="s">
        <v>211</v>
      </c>
      <c r="C793" s="1">
        <v>45901.343007002317</v>
      </c>
      <c r="D793" t="s">
        <v>50</v>
      </c>
      <c r="E793">
        <v>5.56</v>
      </c>
    </row>
    <row r="794" spans="1:5" x14ac:dyDescent="0.35">
      <c r="A794" t="s">
        <v>1081</v>
      </c>
      <c r="B794" t="s">
        <v>1082</v>
      </c>
      <c r="C794" s="1">
        <v>45693.343007002317</v>
      </c>
      <c r="D794" t="s">
        <v>7</v>
      </c>
      <c r="E794">
        <v>44.56</v>
      </c>
    </row>
    <row r="795" spans="1:5" x14ac:dyDescent="0.35">
      <c r="A795" t="s">
        <v>1083</v>
      </c>
      <c r="B795" t="s">
        <v>334</v>
      </c>
      <c r="C795" s="1">
        <v>45933.343007002317</v>
      </c>
      <c r="D795" t="s">
        <v>29</v>
      </c>
      <c r="E795">
        <v>26.01</v>
      </c>
    </row>
    <row r="796" spans="1:5" x14ac:dyDescent="0.35">
      <c r="A796" t="s">
        <v>1084</v>
      </c>
      <c r="B796" t="s">
        <v>209</v>
      </c>
      <c r="C796" s="1">
        <v>45881.343007002317</v>
      </c>
      <c r="D796" t="s">
        <v>16</v>
      </c>
      <c r="E796">
        <v>11.96</v>
      </c>
    </row>
    <row r="797" spans="1:5" x14ac:dyDescent="0.35">
      <c r="A797" t="s">
        <v>1085</v>
      </c>
      <c r="B797" t="s">
        <v>56</v>
      </c>
      <c r="C797" s="1">
        <v>45930.343007002317</v>
      </c>
      <c r="D797" t="s">
        <v>29</v>
      </c>
      <c r="E797">
        <v>23.25</v>
      </c>
    </row>
    <row r="798" spans="1:5" x14ac:dyDescent="0.35">
      <c r="A798" t="s">
        <v>1086</v>
      </c>
      <c r="B798" t="s">
        <v>497</v>
      </c>
      <c r="C798" s="1">
        <v>45942.343007002317</v>
      </c>
      <c r="D798" t="s">
        <v>29</v>
      </c>
      <c r="E798">
        <v>29.41</v>
      </c>
    </row>
    <row r="799" spans="1:5" x14ac:dyDescent="0.35">
      <c r="A799" t="s">
        <v>1087</v>
      </c>
      <c r="B799" t="s">
        <v>745</v>
      </c>
      <c r="C799" s="1">
        <v>45903.343007002317</v>
      </c>
      <c r="D799" t="s">
        <v>7</v>
      </c>
      <c r="E799">
        <v>46.64</v>
      </c>
    </row>
    <row r="800" spans="1:5" x14ac:dyDescent="0.35">
      <c r="A800" t="s">
        <v>1088</v>
      </c>
      <c r="B800" t="s">
        <v>1089</v>
      </c>
      <c r="C800" s="1">
        <v>45844.343007002317</v>
      </c>
      <c r="D800" t="s">
        <v>29</v>
      </c>
      <c r="E800">
        <v>20.11</v>
      </c>
    </row>
    <row r="801" spans="1:5" x14ac:dyDescent="0.35">
      <c r="A801" t="s">
        <v>1090</v>
      </c>
      <c r="B801" t="s">
        <v>687</v>
      </c>
      <c r="C801" s="1">
        <v>45761.343007002317</v>
      </c>
      <c r="D801" t="s">
        <v>13</v>
      </c>
      <c r="E801">
        <v>11.76</v>
      </c>
    </row>
    <row r="802" spans="1:5" x14ac:dyDescent="0.35">
      <c r="A802" t="s">
        <v>1091</v>
      </c>
      <c r="B802" t="s">
        <v>321</v>
      </c>
      <c r="C802" s="1">
        <v>45930.343007002317</v>
      </c>
      <c r="D802" t="s">
        <v>10</v>
      </c>
      <c r="E802">
        <v>17.86</v>
      </c>
    </row>
    <row r="803" spans="1:5" x14ac:dyDescent="0.35">
      <c r="A803" t="s">
        <v>1092</v>
      </c>
      <c r="B803" t="s">
        <v>836</v>
      </c>
      <c r="C803" s="1">
        <v>45625.343007002317</v>
      </c>
      <c r="D803" t="s">
        <v>50</v>
      </c>
      <c r="E803">
        <v>4.21</v>
      </c>
    </row>
    <row r="804" spans="1:5" x14ac:dyDescent="0.35">
      <c r="A804" t="s">
        <v>1093</v>
      </c>
      <c r="B804" t="s">
        <v>74</v>
      </c>
      <c r="C804" s="1">
        <v>45842.343007002317</v>
      </c>
      <c r="D804" t="s">
        <v>10</v>
      </c>
      <c r="E804">
        <v>15.29</v>
      </c>
    </row>
    <row r="805" spans="1:5" x14ac:dyDescent="0.35">
      <c r="A805" t="s">
        <v>1094</v>
      </c>
      <c r="B805" t="s">
        <v>374</v>
      </c>
      <c r="C805" s="1">
        <v>45701.343007002317</v>
      </c>
      <c r="D805" t="s">
        <v>16</v>
      </c>
      <c r="E805">
        <v>11.92</v>
      </c>
    </row>
    <row r="806" spans="1:5" x14ac:dyDescent="0.35">
      <c r="A806" t="s">
        <v>1095</v>
      </c>
      <c r="B806" t="s">
        <v>565</v>
      </c>
      <c r="C806" s="1">
        <v>45646.343007002317</v>
      </c>
      <c r="D806" t="s">
        <v>50</v>
      </c>
      <c r="E806">
        <v>5.1100000000000003</v>
      </c>
    </row>
    <row r="807" spans="1:5" x14ac:dyDescent="0.35">
      <c r="A807" t="s">
        <v>1096</v>
      </c>
      <c r="B807" t="s">
        <v>287</v>
      </c>
      <c r="C807" s="1">
        <v>45676.343007002317</v>
      </c>
      <c r="D807" t="s">
        <v>29</v>
      </c>
      <c r="E807">
        <v>21.9</v>
      </c>
    </row>
    <row r="808" spans="1:5" x14ac:dyDescent="0.35">
      <c r="A808" t="s">
        <v>1097</v>
      </c>
      <c r="B808" t="s">
        <v>1012</v>
      </c>
      <c r="C808" s="1">
        <v>45728.343007002317</v>
      </c>
      <c r="D808" t="s">
        <v>16</v>
      </c>
      <c r="E808">
        <v>10.33</v>
      </c>
    </row>
    <row r="809" spans="1:5" x14ac:dyDescent="0.35">
      <c r="A809" t="s">
        <v>1098</v>
      </c>
      <c r="B809" t="s">
        <v>555</v>
      </c>
      <c r="C809" s="1">
        <v>45880.343007002317</v>
      </c>
      <c r="D809" t="s">
        <v>50</v>
      </c>
      <c r="E809">
        <v>4.41</v>
      </c>
    </row>
    <row r="810" spans="1:5" x14ac:dyDescent="0.35">
      <c r="A810" t="s">
        <v>1099</v>
      </c>
      <c r="B810" t="s">
        <v>268</v>
      </c>
      <c r="C810" s="1">
        <v>45733.343007002317</v>
      </c>
      <c r="D810" t="s">
        <v>13</v>
      </c>
      <c r="E810">
        <v>12.09</v>
      </c>
    </row>
    <row r="811" spans="1:5" x14ac:dyDescent="0.35">
      <c r="A811" t="s">
        <v>1100</v>
      </c>
      <c r="B811" t="s">
        <v>28</v>
      </c>
      <c r="C811" s="1">
        <v>45779.343007002317</v>
      </c>
      <c r="D811" t="s">
        <v>13</v>
      </c>
      <c r="E811">
        <v>9.9600000000000009</v>
      </c>
    </row>
    <row r="812" spans="1:5" x14ac:dyDescent="0.35">
      <c r="A812" t="s">
        <v>1101</v>
      </c>
      <c r="B812" t="s">
        <v>213</v>
      </c>
      <c r="C812" s="1">
        <v>45925.343007002317</v>
      </c>
      <c r="D812" t="s">
        <v>13</v>
      </c>
      <c r="E812">
        <v>12.51</v>
      </c>
    </row>
    <row r="813" spans="1:5" x14ac:dyDescent="0.35">
      <c r="A813" t="s">
        <v>1102</v>
      </c>
      <c r="B813" t="s">
        <v>411</v>
      </c>
      <c r="C813" s="1">
        <v>45868.343007002317</v>
      </c>
      <c r="D813" t="s">
        <v>13</v>
      </c>
      <c r="E813">
        <v>12.08</v>
      </c>
    </row>
    <row r="814" spans="1:5" x14ac:dyDescent="0.35">
      <c r="A814" t="s">
        <v>1103</v>
      </c>
      <c r="B814" t="s">
        <v>183</v>
      </c>
      <c r="C814" s="1">
        <v>45935.343007002317</v>
      </c>
      <c r="D814" t="s">
        <v>29</v>
      </c>
      <c r="E814">
        <v>27.4</v>
      </c>
    </row>
    <row r="815" spans="1:5" x14ac:dyDescent="0.35">
      <c r="A815" t="s">
        <v>1104</v>
      </c>
      <c r="B815" t="s">
        <v>281</v>
      </c>
      <c r="C815" s="1">
        <v>45664.343007002317</v>
      </c>
      <c r="D815" t="s">
        <v>10</v>
      </c>
      <c r="E815">
        <v>15.78</v>
      </c>
    </row>
    <row r="816" spans="1:5" x14ac:dyDescent="0.35">
      <c r="A816" t="s">
        <v>1105</v>
      </c>
      <c r="B816" t="s">
        <v>56</v>
      </c>
      <c r="C816" s="1">
        <v>45629.343007002317</v>
      </c>
      <c r="D816" t="s">
        <v>50</v>
      </c>
      <c r="E816">
        <v>5.0999999999999996</v>
      </c>
    </row>
    <row r="817" spans="1:5" x14ac:dyDescent="0.35">
      <c r="A817" t="s">
        <v>1106</v>
      </c>
      <c r="B817" t="s">
        <v>409</v>
      </c>
      <c r="C817" s="1">
        <v>45857.343007002317</v>
      </c>
      <c r="D817" t="s">
        <v>29</v>
      </c>
      <c r="E817">
        <v>26.9</v>
      </c>
    </row>
    <row r="818" spans="1:5" x14ac:dyDescent="0.35">
      <c r="A818" t="s">
        <v>1107</v>
      </c>
      <c r="B818" t="s">
        <v>54</v>
      </c>
      <c r="C818" s="1">
        <v>45648.343007002317</v>
      </c>
      <c r="D818" t="s">
        <v>13</v>
      </c>
      <c r="E818">
        <v>10.29</v>
      </c>
    </row>
    <row r="819" spans="1:5" x14ac:dyDescent="0.35">
      <c r="A819" t="s">
        <v>1108</v>
      </c>
      <c r="B819" t="s">
        <v>120</v>
      </c>
      <c r="C819" s="1">
        <v>45800.343007002317</v>
      </c>
      <c r="D819" t="s">
        <v>10</v>
      </c>
      <c r="E819">
        <v>15.57</v>
      </c>
    </row>
    <row r="820" spans="1:5" x14ac:dyDescent="0.35">
      <c r="A820" t="s">
        <v>1109</v>
      </c>
      <c r="B820" t="s">
        <v>642</v>
      </c>
      <c r="C820" s="1">
        <v>45721.343007002317</v>
      </c>
      <c r="D820" t="s">
        <v>16</v>
      </c>
      <c r="E820">
        <v>8.69</v>
      </c>
    </row>
    <row r="821" spans="1:5" x14ac:dyDescent="0.35">
      <c r="A821" t="s">
        <v>1110</v>
      </c>
      <c r="B821" t="s">
        <v>429</v>
      </c>
      <c r="C821" s="1">
        <v>45830.343007002317</v>
      </c>
      <c r="D821" t="s">
        <v>16</v>
      </c>
      <c r="E821">
        <v>11.7</v>
      </c>
    </row>
    <row r="822" spans="1:5" x14ac:dyDescent="0.35">
      <c r="A822" t="s">
        <v>1111</v>
      </c>
      <c r="B822" t="s">
        <v>9</v>
      </c>
      <c r="C822" s="1">
        <v>45638.343007002317</v>
      </c>
      <c r="D822" t="s">
        <v>16</v>
      </c>
      <c r="E822">
        <v>8.27</v>
      </c>
    </row>
    <row r="823" spans="1:5" x14ac:dyDescent="0.35">
      <c r="A823" t="s">
        <v>1112</v>
      </c>
      <c r="B823" t="s">
        <v>100</v>
      </c>
      <c r="C823" s="1">
        <v>45835.343007002317</v>
      </c>
      <c r="D823" t="s">
        <v>13</v>
      </c>
      <c r="E823">
        <v>11.67</v>
      </c>
    </row>
    <row r="824" spans="1:5" x14ac:dyDescent="0.35">
      <c r="A824" t="s">
        <v>1113</v>
      </c>
      <c r="B824" t="s">
        <v>793</v>
      </c>
      <c r="C824" s="1">
        <v>45706.343007002317</v>
      </c>
      <c r="D824" t="s">
        <v>16</v>
      </c>
      <c r="E824">
        <v>10.78</v>
      </c>
    </row>
    <row r="825" spans="1:5" x14ac:dyDescent="0.35">
      <c r="A825" t="s">
        <v>1114</v>
      </c>
      <c r="B825" t="s">
        <v>560</v>
      </c>
      <c r="C825" s="1">
        <v>45844.343007002317</v>
      </c>
      <c r="D825" t="s">
        <v>7</v>
      </c>
      <c r="E825">
        <v>39.33</v>
      </c>
    </row>
    <row r="826" spans="1:5" x14ac:dyDescent="0.35">
      <c r="A826" t="s">
        <v>1115</v>
      </c>
      <c r="B826" t="s">
        <v>1082</v>
      </c>
      <c r="C826" s="1">
        <v>45746.343007002317</v>
      </c>
      <c r="D826" t="s">
        <v>50</v>
      </c>
      <c r="E826">
        <v>4.18</v>
      </c>
    </row>
    <row r="827" spans="1:5" x14ac:dyDescent="0.35">
      <c r="A827" t="s">
        <v>1116</v>
      </c>
      <c r="B827" t="s">
        <v>502</v>
      </c>
      <c r="C827" s="1">
        <v>45778.343007002317</v>
      </c>
      <c r="D827" t="s">
        <v>50</v>
      </c>
      <c r="E827">
        <v>5.1100000000000003</v>
      </c>
    </row>
    <row r="828" spans="1:5" x14ac:dyDescent="0.35">
      <c r="A828" t="s">
        <v>1117</v>
      </c>
      <c r="B828" t="s">
        <v>820</v>
      </c>
      <c r="C828" s="1">
        <v>45931.343007002317</v>
      </c>
      <c r="D828" t="s">
        <v>13</v>
      </c>
      <c r="E828">
        <v>12.68</v>
      </c>
    </row>
    <row r="829" spans="1:5" x14ac:dyDescent="0.35">
      <c r="A829" t="s">
        <v>1118</v>
      </c>
      <c r="B829" t="s">
        <v>161</v>
      </c>
      <c r="C829" s="1">
        <v>45690.343007002317</v>
      </c>
      <c r="D829" t="s">
        <v>7</v>
      </c>
      <c r="E829">
        <v>43.26</v>
      </c>
    </row>
    <row r="830" spans="1:5" x14ac:dyDescent="0.35">
      <c r="A830" t="s">
        <v>1119</v>
      </c>
      <c r="B830" t="s">
        <v>268</v>
      </c>
      <c r="C830" s="1">
        <v>45603.343007002317</v>
      </c>
      <c r="D830" t="s">
        <v>29</v>
      </c>
      <c r="E830">
        <v>23.73</v>
      </c>
    </row>
    <row r="831" spans="1:5" x14ac:dyDescent="0.35">
      <c r="A831" t="s">
        <v>1120</v>
      </c>
      <c r="B831" t="s">
        <v>185</v>
      </c>
      <c r="C831" s="1">
        <v>45955.343007002317</v>
      </c>
      <c r="D831" t="s">
        <v>29</v>
      </c>
      <c r="E831">
        <v>25.64</v>
      </c>
    </row>
    <row r="832" spans="1:5" x14ac:dyDescent="0.35">
      <c r="A832" t="s">
        <v>1121</v>
      </c>
      <c r="B832" t="s">
        <v>1122</v>
      </c>
      <c r="C832" s="1">
        <v>45779.343007002317</v>
      </c>
      <c r="D832" t="s">
        <v>16</v>
      </c>
      <c r="E832">
        <v>9.8000000000000007</v>
      </c>
    </row>
    <row r="833" spans="1:5" x14ac:dyDescent="0.35">
      <c r="A833" t="s">
        <v>1123</v>
      </c>
      <c r="B833" t="s">
        <v>544</v>
      </c>
      <c r="C833" s="1">
        <v>45876.343007002317</v>
      </c>
      <c r="D833" t="s">
        <v>10</v>
      </c>
      <c r="E833">
        <v>16.03</v>
      </c>
    </row>
    <row r="834" spans="1:5" x14ac:dyDescent="0.35">
      <c r="A834" t="s">
        <v>1124</v>
      </c>
      <c r="B834" t="s">
        <v>281</v>
      </c>
      <c r="C834" s="1">
        <v>45790.343007002317</v>
      </c>
      <c r="D834" t="s">
        <v>29</v>
      </c>
      <c r="E834">
        <v>25.84</v>
      </c>
    </row>
    <row r="835" spans="1:5" x14ac:dyDescent="0.35">
      <c r="A835" t="s">
        <v>1125</v>
      </c>
      <c r="B835" t="s">
        <v>645</v>
      </c>
      <c r="C835" s="1">
        <v>45947.343007002317</v>
      </c>
      <c r="D835" t="s">
        <v>10</v>
      </c>
      <c r="E835">
        <v>15.15</v>
      </c>
    </row>
    <row r="836" spans="1:5" x14ac:dyDescent="0.35">
      <c r="A836" t="s">
        <v>1126</v>
      </c>
      <c r="B836" t="s">
        <v>118</v>
      </c>
      <c r="C836" s="1">
        <v>45790.343007002317</v>
      </c>
      <c r="D836" t="s">
        <v>50</v>
      </c>
      <c r="E836">
        <v>4.5</v>
      </c>
    </row>
    <row r="837" spans="1:5" x14ac:dyDescent="0.35">
      <c r="A837" t="s">
        <v>1127</v>
      </c>
      <c r="B837" t="s">
        <v>378</v>
      </c>
      <c r="C837" s="1">
        <v>45750.343007002317</v>
      </c>
      <c r="D837" t="s">
        <v>10</v>
      </c>
      <c r="E837">
        <v>12.01</v>
      </c>
    </row>
    <row r="838" spans="1:5" x14ac:dyDescent="0.35">
      <c r="A838" t="s">
        <v>1128</v>
      </c>
      <c r="B838" t="s">
        <v>163</v>
      </c>
      <c r="C838" s="1">
        <v>45688.343007002317</v>
      </c>
      <c r="D838" t="s">
        <v>50</v>
      </c>
      <c r="E838">
        <v>4.3499999999999996</v>
      </c>
    </row>
    <row r="839" spans="1:5" x14ac:dyDescent="0.35">
      <c r="A839" t="s">
        <v>1129</v>
      </c>
      <c r="B839" t="s">
        <v>12</v>
      </c>
      <c r="C839" s="1">
        <v>45755.343007002317</v>
      </c>
      <c r="D839" t="s">
        <v>7</v>
      </c>
      <c r="E839">
        <v>33.869999999999997</v>
      </c>
    </row>
    <row r="840" spans="1:5" x14ac:dyDescent="0.35">
      <c r="A840" t="s">
        <v>1130</v>
      </c>
      <c r="B840" t="s">
        <v>155</v>
      </c>
      <c r="C840" s="1">
        <v>45656.343007002317</v>
      </c>
      <c r="D840" t="s">
        <v>7</v>
      </c>
      <c r="E840">
        <v>39.19</v>
      </c>
    </row>
    <row r="841" spans="1:5" x14ac:dyDescent="0.35">
      <c r="A841" t="s">
        <v>1131</v>
      </c>
      <c r="B841" t="s">
        <v>385</v>
      </c>
      <c r="C841" s="1">
        <v>45717.343007002317</v>
      </c>
      <c r="D841" t="s">
        <v>13</v>
      </c>
      <c r="E841">
        <v>12.54</v>
      </c>
    </row>
    <row r="842" spans="1:5" x14ac:dyDescent="0.35">
      <c r="A842" t="s">
        <v>1132</v>
      </c>
      <c r="B842" t="s">
        <v>1122</v>
      </c>
      <c r="C842" s="1">
        <v>45646.343007002317</v>
      </c>
      <c r="D842" t="s">
        <v>13</v>
      </c>
      <c r="E842">
        <v>10.62</v>
      </c>
    </row>
    <row r="843" spans="1:5" x14ac:dyDescent="0.35">
      <c r="A843" t="s">
        <v>1133</v>
      </c>
      <c r="B843" t="s">
        <v>405</v>
      </c>
      <c r="C843" s="1">
        <v>45872.343007002317</v>
      </c>
      <c r="D843" t="s">
        <v>16</v>
      </c>
      <c r="E843">
        <v>11.76</v>
      </c>
    </row>
    <row r="844" spans="1:5" x14ac:dyDescent="0.35">
      <c r="A844" t="s">
        <v>1134</v>
      </c>
      <c r="B844" t="s">
        <v>349</v>
      </c>
      <c r="C844" s="1">
        <v>45600.343007002317</v>
      </c>
      <c r="D844" t="s">
        <v>29</v>
      </c>
      <c r="E844">
        <v>20.07</v>
      </c>
    </row>
    <row r="845" spans="1:5" x14ac:dyDescent="0.35">
      <c r="A845" t="s">
        <v>1135</v>
      </c>
      <c r="B845" t="s">
        <v>542</v>
      </c>
      <c r="C845" s="1">
        <v>45687.343007002317</v>
      </c>
      <c r="D845" t="s">
        <v>16</v>
      </c>
      <c r="E845">
        <v>11.09</v>
      </c>
    </row>
    <row r="846" spans="1:5" x14ac:dyDescent="0.35">
      <c r="A846" t="s">
        <v>1136</v>
      </c>
      <c r="B846" t="s">
        <v>334</v>
      </c>
      <c r="C846" s="1">
        <v>45765.343007002317</v>
      </c>
      <c r="D846" t="s">
        <v>50</v>
      </c>
      <c r="E846">
        <v>5.25</v>
      </c>
    </row>
    <row r="847" spans="1:5" x14ac:dyDescent="0.35">
      <c r="A847" t="s">
        <v>1137</v>
      </c>
      <c r="B847" t="s">
        <v>132</v>
      </c>
      <c r="C847" s="1">
        <v>45912.343007002317</v>
      </c>
      <c r="D847" t="s">
        <v>16</v>
      </c>
      <c r="E847">
        <v>9.49</v>
      </c>
    </row>
    <row r="848" spans="1:5" x14ac:dyDescent="0.35">
      <c r="A848" t="s">
        <v>1138</v>
      </c>
      <c r="B848" t="s">
        <v>76</v>
      </c>
      <c r="C848" s="1">
        <v>45617.343007002317</v>
      </c>
      <c r="D848" t="s">
        <v>10</v>
      </c>
      <c r="E848">
        <v>12.3</v>
      </c>
    </row>
    <row r="849" spans="1:5" x14ac:dyDescent="0.35">
      <c r="A849" t="s">
        <v>1139</v>
      </c>
      <c r="B849" t="s">
        <v>147</v>
      </c>
      <c r="C849" s="1">
        <v>45921.343007002317</v>
      </c>
      <c r="D849" t="s">
        <v>50</v>
      </c>
      <c r="E849">
        <v>5.25</v>
      </c>
    </row>
    <row r="850" spans="1:5" x14ac:dyDescent="0.35">
      <c r="A850" t="s">
        <v>1140</v>
      </c>
      <c r="B850" t="s">
        <v>321</v>
      </c>
      <c r="C850" s="1">
        <v>45596.343007002317</v>
      </c>
      <c r="D850" t="s">
        <v>13</v>
      </c>
      <c r="E850">
        <v>11.45</v>
      </c>
    </row>
    <row r="851" spans="1:5" x14ac:dyDescent="0.35">
      <c r="A851" t="s">
        <v>1141</v>
      </c>
      <c r="B851" t="s">
        <v>1142</v>
      </c>
      <c r="C851" s="1">
        <v>45728.343007002317</v>
      </c>
      <c r="D851" t="s">
        <v>7</v>
      </c>
      <c r="E851">
        <v>46.98</v>
      </c>
    </row>
    <row r="852" spans="1:5" x14ac:dyDescent="0.35">
      <c r="A852" t="s">
        <v>1143</v>
      </c>
      <c r="B852" t="s">
        <v>500</v>
      </c>
      <c r="C852" s="1">
        <v>45828.343007002317</v>
      </c>
      <c r="D852" t="s">
        <v>13</v>
      </c>
      <c r="E852">
        <v>12.2</v>
      </c>
    </row>
    <row r="853" spans="1:5" x14ac:dyDescent="0.35">
      <c r="A853" t="s">
        <v>1144</v>
      </c>
      <c r="B853" t="s">
        <v>409</v>
      </c>
      <c r="C853" s="1">
        <v>45607.343007002317</v>
      </c>
      <c r="D853" t="s">
        <v>29</v>
      </c>
      <c r="E853">
        <v>29.4</v>
      </c>
    </row>
    <row r="854" spans="1:5" x14ac:dyDescent="0.35">
      <c r="A854" t="s">
        <v>1145</v>
      </c>
      <c r="B854" t="s">
        <v>200</v>
      </c>
      <c r="C854" s="1">
        <v>45941.343007002317</v>
      </c>
      <c r="D854" t="s">
        <v>50</v>
      </c>
      <c r="E854">
        <v>4.4400000000000004</v>
      </c>
    </row>
    <row r="855" spans="1:5" x14ac:dyDescent="0.35">
      <c r="A855" t="s">
        <v>1146</v>
      </c>
      <c r="B855" t="s">
        <v>327</v>
      </c>
      <c r="C855" s="1">
        <v>45641.343007002317</v>
      </c>
      <c r="D855" t="s">
        <v>50</v>
      </c>
      <c r="E855">
        <v>5.45</v>
      </c>
    </row>
    <row r="856" spans="1:5" x14ac:dyDescent="0.35">
      <c r="A856" t="s">
        <v>1147</v>
      </c>
      <c r="B856" t="s">
        <v>112</v>
      </c>
      <c r="C856" s="1">
        <v>45629.343007002317</v>
      </c>
      <c r="D856" t="s">
        <v>10</v>
      </c>
      <c r="E856">
        <v>15.7</v>
      </c>
    </row>
    <row r="857" spans="1:5" x14ac:dyDescent="0.35">
      <c r="A857" t="s">
        <v>1148</v>
      </c>
      <c r="B857" t="s">
        <v>585</v>
      </c>
      <c r="C857" s="1">
        <v>45673.343007002317</v>
      </c>
      <c r="D857" t="s">
        <v>29</v>
      </c>
      <c r="E857">
        <v>27.39</v>
      </c>
    </row>
    <row r="858" spans="1:5" x14ac:dyDescent="0.35">
      <c r="A858" t="s">
        <v>1149</v>
      </c>
      <c r="B858" t="s">
        <v>167</v>
      </c>
      <c r="C858" s="1">
        <v>45813.343007002317</v>
      </c>
      <c r="D858" t="s">
        <v>7</v>
      </c>
      <c r="E858">
        <v>35.43</v>
      </c>
    </row>
    <row r="859" spans="1:5" x14ac:dyDescent="0.35">
      <c r="A859" t="s">
        <v>1150</v>
      </c>
      <c r="B859" t="s">
        <v>517</v>
      </c>
      <c r="C859" s="1">
        <v>45896.343007002317</v>
      </c>
      <c r="D859" t="s">
        <v>50</v>
      </c>
      <c r="E859">
        <v>5.33</v>
      </c>
    </row>
    <row r="860" spans="1:5" x14ac:dyDescent="0.35">
      <c r="A860" t="s">
        <v>1151</v>
      </c>
      <c r="B860" t="s">
        <v>52</v>
      </c>
      <c r="C860" s="1">
        <v>45668.343007002317</v>
      </c>
      <c r="D860" t="s">
        <v>50</v>
      </c>
      <c r="E860">
        <v>5</v>
      </c>
    </row>
    <row r="861" spans="1:5" x14ac:dyDescent="0.35">
      <c r="A861" t="s">
        <v>1152</v>
      </c>
      <c r="B861" t="s">
        <v>134</v>
      </c>
      <c r="C861" s="1">
        <v>45877.343007002317</v>
      </c>
      <c r="D861" t="s">
        <v>10</v>
      </c>
      <c r="E861">
        <v>16.46</v>
      </c>
    </row>
    <row r="862" spans="1:5" x14ac:dyDescent="0.35">
      <c r="A862" t="s">
        <v>1153</v>
      </c>
      <c r="B862" t="s">
        <v>56</v>
      </c>
      <c r="C862" s="1">
        <v>45844.343007002317</v>
      </c>
      <c r="D862" t="s">
        <v>16</v>
      </c>
      <c r="E862">
        <v>9.31</v>
      </c>
    </row>
    <row r="863" spans="1:5" x14ac:dyDescent="0.35">
      <c r="A863" t="s">
        <v>1154</v>
      </c>
      <c r="B863" t="s">
        <v>389</v>
      </c>
      <c r="C863" s="1">
        <v>45642.343007002317</v>
      </c>
      <c r="D863" t="s">
        <v>7</v>
      </c>
      <c r="E863">
        <v>46.24</v>
      </c>
    </row>
    <row r="864" spans="1:5" x14ac:dyDescent="0.35">
      <c r="A864" t="s">
        <v>1155</v>
      </c>
      <c r="B864" t="s">
        <v>221</v>
      </c>
      <c r="C864" s="1">
        <v>45716.343007002317</v>
      </c>
      <c r="D864" t="s">
        <v>13</v>
      </c>
      <c r="E864">
        <v>10</v>
      </c>
    </row>
    <row r="865" spans="1:5" x14ac:dyDescent="0.35">
      <c r="A865" t="s">
        <v>1156</v>
      </c>
      <c r="B865" t="s">
        <v>657</v>
      </c>
      <c r="C865" s="1">
        <v>45809.343007002317</v>
      </c>
      <c r="D865" t="s">
        <v>29</v>
      </c>
      <c r="E865">
        <v>28.07</v>
      </c>
    </row>
    <row r="866" spans="1:5" x14ac:dyDescent="0.35">
      <c r="A866" t="s">
        <v>1157</v>
      </c>
      <c r="B866" t="s">
        <v>420</v>
      </c>
      <c r="C866" s="1">
        <v>45834.343007002317</v>
      </c>
      <c r="D866" t="s">
        <v>50</v>
      </c>
      <c r="E866">
        <v>5.72</v>
      </c>
    </row>
    <row r="867" spans="1:5" x14ac:dyDescent="0.35">
      <c r="A867" t="s">
        <v>1158</v>
      </c>
      <c r="B867" t="s">
        <v>45</v>
      </c>
      <c r="C867" s="1">
        <v>45651.343007002317</v>
      </c>
      <c r="D867" t="s">
        <v>50</v>
      </c>
      <c r="E867">
        <v>5.63</v>
      </c>
    </row>
    <row r="868" spans="1:5" x14ac:dyDescent="0.35">
      <c r="A868" t="s">
        <v>1159</v>
      </c>
      <c r="B868" t="s">
        <v>258</v>
      </c>
      <c r="C868" s="1">
        <v>45945.343007002317</v>
      </c>
      <c r="D868" t="s">
        <v>13</v>
      </c>
      <c r="E868">
        <v>12.06</v>
      </c>
    </row>
    <row r="869" spans="1:5" x14ac:dyDescent="0.35">
      <c r="A869" t="s">
        <v>1160</v>
      </c>
      <c r="B869" t="s">
        <v>1019</v>
      </c>
      <c r="C869" s="1">
        <v>45702.343007002317</v>
      </c>
      <c r="D869" t="s">
        <v>7</v>
      </c>
      <c r="E869">
        <v>39.01</v>
      </c>
    </row>
    <row r="870" spans="1:5" x14ac:dyDescent="0.35">
      <c r="A870" t="s">
        <v>1161</v>
      </c>
      <c r="B870" t="s">
        <v>823</v>
      </c>
      <c r="C870" s="1">
        <v>45914.343007002317</v>
      </c>
      <c r="D870" t="s">
        <v>16</v>
      </c>
      <c r="E870">
        <v>11.99</v>
      </c>
    </row>
    <row r="871" spans="1:5" x14ac:dyDescent="0.35">
      <c r="A871" t="s">
        <v>1162</v>
      </c>
      <c r="B871" t="s">
        <v>106</v>
      </c>
      <c r="C871" s="1">
        <v>45643.343007002317</v>
      </c>
      <c r="D871" t="s">
        <v>50</v>
      </c>
      <c r="E871">
        <v>4.46</v>
      </c>
    </row>
    <row r="872" spans="1:5" x14ac:dyDescent="0.35">
      <c r="A872" t="s">
        <v>1163</v>
      </c>
      <c r="B872" t="s">
        <v>537</v>
      </c>
      <c r="C872" s="1">
        <v>45656.343007002317</v>
      </c>
      <c r="D872" t="s">
        <v>7</v>
      </c>
      <c r="E872">
        <v>40.75</v>
      </c>
    </row>
    <row r="873" spans="1:5" x14ac:dyDescent="0.35">
      <c r="A873" t="s">
        <v>1164</v>
      </c>
      <c r="B873" t="s">
        <v>9</v>
      </c>
      <c r="C873" s="1">
        <v>45932.343007002317</v>
      </c>
      <c r="D873" t="s">
        <v>13</v>
      </c>
      <c r="E873">
        <v>12.82</v>
      </c>
    </row>
    <row r="874" spans="1:5" x14ac:dyDescent="0.35">
      <c r="A874" t="s">
        <v>1165</v>
      </c>
      <c r="B874" t="s">
        <v>767</v>
      </c>
      <c r="C874" s="1">
        <v>45621.343007002317</v>
      </c>
      <c r="D874" t="s">
        <v>10</v>
      </c>
      <c r="E874">
        <v>16.21</v>
      </c>
    </row>
    <row r="875" spans="1:5" x14ac:dyDescent="0.35">
      <c r="A875" t="s">
        <v>1166</v>
      </c>
      <c r="B875" t="s">
        <v>84</v>
      </c>
      <c r="C875" s="1">
        <v>45887.343007002317</v>
      </c>
      <c r="D875" t="s">
        <v>16</v>
      </c>
      <c r="E875">
        <v>8.82</v>
      </c>
    </row>
    <row r="876" spans="1:5" x14ac:dyDescent="0.35">
      <c r="A876" t="s">
        <v>1167</v>
      </c>
      <c r="B876" t="s">
        <v>601</v>
      </c>
      <c r="C876" s="1">
        <v>45852.343007002317</v>
      </c>
      <c r="D876" t="s">
        <v>29</v>
      </c>
      <c r="E876">
        <v>26.54</v>
      </c>
    </row>
    <row r="877" spans="1:5" x14ac:dyDescent="0.35">
      <c r="A877" t="s">
        <v>1168</v>
      </c>
      <c r="B877" t="s">
        <v>633</v>
      </c>
      <c r="C877" s="1">
        <v>45603.343007002317</v>
      </c>
      <c r="D877" t="s">
        <v>50</v>
      </c>
      <c r="E877">
        <v>5.64</v>
      </c>
    </row>
    <row r="878" spans="1:5" x14ac:dyDescent="0.35">
      <c r="A878" t="s">
        <v>1169</v>
      </c>
      <c r="B878" t="s">
        <v>537</v>
      </c>
      <c r="C878" s="1">
        <v>45708.343007002317</v>
      </c>
      <c r="D878" t="s">
        <v>7</v>
      </c>
      <c r="E878">
        <v>32.799999999999997</v>
      </c>
    </row>
    <row r="879" spans="1:5" x14ac:dyDescent="0.35">
      <c r="A879" t="s">
        <v>1170</v>
      </c>
      <c r="B879" t="s">
        <v>642</v>
      </c>
      <c r="C879" s="1">
        <v>45950.343007002317</v>
      </c>
      <c r="D879" t="s">
        <v>10</v>
      </c>
      <c r="E879">
        <v>17.47</v>
      </c>
    </row>
    <row r="880" spans="1:5" x14ac:dyDescent="0.35">
      <c r="A880" t="s">
        <v>1171</v>
      </c>
      <c r="B880" t="s">
        <v>795</v>
      </c>
      <c r="C880" s="1">
        <v>45848.343007002317</v>
      </c>
      <c r="D880" t="s">
        <v>29</v>
      </c>
      <c r="E880">
        <v>20.3</v>
      </c>
    </row>
    <row r="881" spans="1:5" x14ac:dyDescent="0.35">
      <c r="A881" t="s">
        <v>1172</v>
      </c>
      <c r="B881" t="s">
        <v>157</v>
      </c>
      <c r="C881" s="1">
        <v>45775.343007002317</v>
      </c>
      <c r="D881" t="s">
        <v>7</v>
      </c>
      <c r="E881">
        <v>37.700000000000003</v>
      </c>
    </row>
    <row r="882" spans="1:5" x14ac:dyDescent="0.35">
      <c r="A882" t="s">
        <v>1173</v>
      </c>
      <c r="B882" t="s">
        <v>460</v>
      </c>
      <c r="C882" s="1">
        <v>45802.343007002317</v>
      </c>
      <c r="D882" t="s">
        <v>7</v>
      </c>
      <c r="E882">
        <v>32.25</v>
      </c>
    </row>
    <row r="883" spans="1:5" x14ac:dyDescent="0.35">
      <c r="A883" t="s">
        <v>1174</v>
      </c>
      <c r="B883" t="s">
        <v>558</v>
      </c>
      <c r="C883" s="1">
        <v>45898.343007002317</v>
      </c>
      <c r="D883" t="s">
        <v>29</v>
      </c>
      <c r="E883">
        <v>20.77</v>
      </c>
    </row>
    <row r="884" spans="1:5" x14ac:dyDescent="0.35">
      <c r="A884" t="s">
        <v>1175</v>
      </c>
      <c r="B884" t="s">
        <v>82</v>
      </c>
      <c r="C884" s="1">
        <v>45722.343007002317</v>
      </c>
      <c r="D884" t="s">
        <v>10</v>
      </c>
      <c r="E884">
        <v>17.47</v>
      </c>
    </row>
    <row r="885" spans="1:5" x14ac:dyDescent="0.35">
      <c r="A885" t="s">
        <v>1176</v>
      </c>
      <c r="B885" t="s">
        <v>558</v>
      </c>
      <c r="C885" s="1">
        <v>45651.343007002317</v>
      </c>
      <c r="D885" t="s">
        <v>13</v>
      </c>
      <c r="E885">
        <v>11.3</v>
      </c>
    </row>
    <row r="886" spans="1:5" x14ac:dyDescent="0.35">
      <c r="A886" t="s">
        <v>1177</v>
      </c>
      <c r="B886" t="s">
        <v>315</v>
      </c>
      <c r="C886" s="1">
        <v>45809.343007002317</v>
      </c>
      <c r="D886" t="s">
        <v>10</v>
      </c>
      <c r="E886">
        <v>14.55</v>
      </c>
    </row>
    <row r="887" spans="1:5" x14ac:dyDescent="0.35">
      <c r="A887" t="s">
        <v>1178</v>
      </c>
      <c r="B887" t="s">
        <v>398</v>
      </c>
      <c r="C887" s="1">
        <v>45609.343007002317</v>
      </c>
      <c r="D887" t="s">
        <v>16</v>
      </c>
      <c r="E887">
        <v>8.86</v>
      </c>
    </row>
    <row r="888" spans="1:5" x14ac:dyDescent="0.35">
      <c r="A888" t="s">
        <v>1179</v>
      </c>
      <c r="B888" t="s">
        <v>1180</v>
      </c>
      <c r="C888" s="1">
        <v>45623.343007002317</v>
      </c>
      <c r="D888" t="s">
        <v>50</v>
      </c>
      <c r="E888">
        <v>5.19</v>
      </c>
    </row>
    <row r="889" spans="1:5" x14ac:dyDescent="0.35">
      <c r="A889" t="s">
        <v>1181</v>
      </c>
      <c r="B889" t="s">
        <v>542</v>
      </c>
      <c r="C889" s="1">
        <v>45673.343007002317</v>
      </c>
      <c r="D889" t="s">
        <v>29</v>
      </c>
      <c r="E889">
        <v>25.95</v>
      </c>
    </row>
    <row r="890" spans="1:5" x14ac:dyDescent="0.35">
      <c r="A890" t="s">
        <v>1182</v>
      </c>
      <c r="B890" t="s">
        <v>84</v>
      </c>
      <c r="C890" s="1">
        <v>45811.343007002317</v>
      </c>
      <c r="D890" t="s">
        <v>13</v>
      </c>
      <c r="E890">
        <v>11.39</v>
      </c>
    </row>
    <row r="891" spans="1:5" x14ac:dyDescent="0.35">
      <c r="A891" t="s">
        <v>1183</v>
      </c>
      <c r="B891" t="s">
        <v>72</v>
      </c>
      <c r="C891" s="1">
        <v>45960.343007002317</v>
      </c>
      <c r="D891" t="s">
        <v>29</v>
      </c>
      <c r="E891">
        <v>23.33</v>
      </c>
    </row>
    <row r="892" spans="1:5" x14ac:dyDescent="0.35">
      <c r="A892" t="s">
        <v>1184</v>
      </c>
      <c r="B892" t="s">
        <v>108</v>
      </c>
      <c r="C892" s="1">
        <v>45749.343007002317</v>
      </c>
      <c r="D892" t="s">
        <v>29</v>
      </c>
      <c r="E892">
        <v>28.85</v>
      </c>
    </row>
    <row r="893" spans="1:5" x14ac:dyDescent="0.35">
      <c r="A893" t="s">
        <v>1185</v>
      </c>
      <c r="B893" t="s">
        <v>652</v>
      </c>
      <c r="C893" s="1">
        <v>45609.343007002317</v>
      </c>
      <c r="D893" t="s">
        <v>10</v>
      </c>
      <c r="E893">
        <v>14.3</v>
      </c>
    </row>
    <row r="894" spans="1:5" x14ac:dyDescent="0.35">
      <c r="A894" t="s">
        <v>1186</v>
      </c>
      <c r="B894" t="s">
        <v>52</v>
      </c>
      <c r="C894" s="1">
        <v>45782.343007002317</v>
      </c>
      <c r="D894" t="s">
        <v>50</v>
      </c>
      <c r="E894">
        <v>4.99</v>
      </c>
    </row>
    <row r="895" spans="1:5" x14ac:dyDescent="0.35">
      <c r="A895" t="s">
        <v>1187</v>
      </c>
      <c r="B895" t="s">
        <v>592</v>
      </c>
      <c r="C895" s="1">
        <v>45907.343007002317</v>
      </c>
      <c r="D895" t="s">
        <v>16</v>
      </c>
      <c r="E895">
        <v>9.1300000000000008</v>
      </c>
    </row>
    <row r="896" spans="1:5" x14ac:dyDescent="0.35">
      <c r="A896" t="s">
        <v>1188</v>
      </c>
      <c r="B896" t="s">
        <v>108</v>
      </c>
      <c r="C896" s="1">
        <v>45602.343007002317</v>
      </c>
      <c r="D896" t="s">
        <v>7</v>
      </c>
      <c r="E896">
        <v>44.59</v>
      </c>
    </row>
    <row r="897" spans="1:5" x14ac:dyDescent="0.35">
      <c r="A897" t="s">
        <v>1189</v>
      </c>
      <c r="B897" t="s">
        <v>891</v>
      </c>
      <c r="C897" s="1">
        <v>45598.343007002317</v>
      </c>
      <c r="D897" t="s">
        <v>7</v>
      </c>
      <c r="E897">
        <v>38.36</v>
      </c>
    </row>
    <row r="898" spans="1:5" x14ac:dyDescent="0.35">
      <c r="A898" t="s">
        <v>1190</v>
      </c>
      <c r="B898" t="s">
        <v>300</v>
      </c>
      <c r="C898" s="1">
        <v>45706.343007002317</v>
      </c>
      <c r="D898" t="s">
        <v>29</v>
      </c>
      <c r="E898">
        <v>25.14</v>
      </c>
    </row>
    <row r="899" spans="1:5" x14ac:dyDescent="0.35">
      <c r="A899" t="s">
        <v>1191</v>
      </c>
      <c r="B899" t="s">
        <v>70</v>
      </c>
      <c r="C899" s="1">
        <v>45833.343007002317</v>
      </c>
      <c r="D899" t="s">
        <v>50</v>
      </c>
      <c r="E899">
        <v>4.51</v>
      </c>
    </row>
    <row r="900" spans="1:5" x14ac:dyDescent="0.35">
      <c r="A900" t="s">
        <v>1192</v>
      </c>
      <c r="B900" t="s">
        <v>558</v>
      </c>
      <c r="C900" s="1">
        <v>45958.343007002317</v>
      </c>
      <c r="D900" t="s">
        <v>13</v>
      </c>
      <c r="E900">
        <v>14.34</v>
      </c>
    </row>
    <row r="901" spans="1:5" x14ac:dyDescent="0.35">
      <c r="A901" t="s">
        <v>1193</v>
      </c>
      <c r="B901" t="s">
        <v>62</v>
      </c>
      <c r="C901" s="1">
        <v>45834.343007002317</v>
      </c>
      <c r="D901" t="s">
        <v>10</v>
      </c>
      <c r="E901">
        <v>13.75</v>
      </c>
    </row>
    <row r="902" spans="1:5" x14ac:dyDescent="0.35">
      <c r="A902" t="s">
        <v>1194</v>
      </c>
      <c r="B902" t="s">
        <v>236</v>
      </c>
      <c r="C902" s="1">
        <v>45869.343007002317</v>
      </c>
      <c r="D902" t="s">
        <v>50</v>
      </c>
      <c r="E902">
        <v>5.54</v>
      </c>
    </row>
    <row r="903" spans="1:5" x14ac:dyDescent="0.35">
      <c r="A903" t="s">
        <v>1195</v>
      </c>
      <c r="B903" t="s">
        <v>37</v>
      </c>
      <c r="C903" s="1">
        <v>45889.343007002317</v>
      </c>
      <c r="D903" t="s">
        <v>50</v>
      </c>
      <c r="E903">
        <v>4.8499999999999996</v>
      </c>
    </row>
    <row r="904" spans="1:5" x14ac:dyDescent="0.35">
      <c r="A904" t="s">
        <v>1196</v>
      </c>
      <c r="B904" t="s">
        <v>655</v>
      </c>
      <c r="C904" s="1">
        <v>45822.343007002317</v>
      </c>
      <c r="D904" t="s">
        <v>10</v>
      </c>
      <c r="E904">
        <v>13.24</v>
      </c>
    </row>
    <row r="905" spans="1:5" x14ac:dyDescent="0.35">
      <c r="A905" t="s">
        <v>1197</v>
      </c>
      <c r="B905" t="s">
        <v>387</v>
      </c>
      <c r="C905" s="1">
        <v>45610.343007002317</v>
      </c>
      <c r="D905" t="s">
        <v>29</v>
      </c>
      <c r="E905">
        <v>28</v>
      </c>
    </row>
    <row r="906" spans="1:5" x14ac:dyDescent="0.35">
      <c r="A906" t="s">
        <v>1198</v>
      </c>
      <c r="B906" t="s">
        <v>183</v>
      </c>
      <c r="C906" s="1">
        <v>45787.343007002317</v>
      </c>
      <c r="D906" t="s">
        <v>50</v>
      </c>
      <c r="E906">
        <v>4.67</v>
      </c>
    </row>
    <row r="907" spans="1:5" x14ac:dyDescent="0.35">
      <c r="A907" t="s">
        <v>1199</v>
      </c>
      <c r="B907" t="s">
        <v>248</v>
      </c>
      <c r="C907" s="1">
        <v>45714.343007002317</v>
      </c>
      <c r="D907" t="s">
        <v>7</v>
      </c>
      <c r="E907">
        <v>45.84</v>
      </c>
    </row>
    <row r="908" spans="1:5" x14ac:dyDescent="0.35">
      <c r="A908" t="s">
        <v>1200</v>
      </c>
      <c r="B908" t="s">
        <v>995</v>
      </c>
      <c r="C908" s="1">
        <v>45623.343007002317</v>
      </c>
      <c r="D908" t="s">
        <v>10</v>
      </c>
      <c r="E908">
        <v>17.489999999999998</v>
      </c>
    </row>
    <row r="909" spans="1:5" x14ac:dyDescent="0.35">
      <c r="A909" t="s">
        <v>1201</v>
      </c>
      <c r="B909" t="s">
        <v>250</v>
      </c>
      <c r="C909" s="1">
        <v>45797.343007002317</v>
      </c>
      <c r="D909" t="s">
        <v>13</v>
      </c>
      <c r="E909">
        <v>13.73</v>
      </c>
    </row>
    <row r="910" spans="1:5" x14ac:dyDescent="0.35">
      <c r="A910" t="s">
        <v>1202</v>
      </c>
      <c r="B910" t="s">
        <v>110</v>
      </c>
      <c r="C910" s="1">
        <v>45634.343007002317</v>
      </c>
      <c r="D910" t="s">
        <v>16</v>
      </c>
      <c r="E910">
        <v>8.14</v>
      </c>
    </row>
    <row r="911" spans="1:5" x14ac:dyDescent="0.35">
      <c r="A911" t="s">
        <v>1203</v>
      </c>
      <c r="B911" t="s">
        <v>560</v>
      </c>
      <c r="C911" s="1">
        <v>45868.343007002317</v>
      </c>
      <c r="D911" t="s">
        <v>29</v>
      </c>
      <c r="E911">
        <v>27.87</v>
      </c>
    </row>
    <row r="912" spans="1:5" x14ac:dyDescent="0.35">
      <c r="A912" t="s">
        <v>1204</v>
      </c>
      <c r="B912" t="s">
        <v>211</v>
      </c>
      <c r="C912" s="1">
        <v>45826.343007002317</v>
      </c>
      <c r="D912" t="s">
        <v>10</v>
      </c>
      <c r="E912">
        <v>14.47</v>
      </c>
    </row>
    <row r="913" spans="1:5" x14ac:dyDescent="0.35">
      <c r="A913" t="s">
        <v>1205</v>
      </c>
      <c r="B913" t="s">
        <v>213</v>
      </c>
      <c r="C913" s="1">
        <v>45681.343007002317</v>
      </c>
      <c r="D913" t="s">
        <v>16</v>
      </c>
      <c r="E913">
        <v>11.49</v>
      </c>
    </row>
    <row r="914" spans="1:5" x14ac:dyDescent="0.35">
      <c r="A914" t="s">
        <v>1206</v>
      </c>
      <c r="B914" t="s">
        <v>1000</v>
      </c>
      <c r="C914" s="1">
        <v>45721.343007002317</v>
      </c>
      <c r="D914" t="s">
        <v>16</v>
      </c>
      <c r="E914">
        <v>10.55</v>
      </c>
    </row>
    <row r="915" spans="1:5" x14ac:dyDescent="0.35">
      <c r="A915" t="s">
        <v>1207</v>
      </c>
      <c r="B915" t="s">
        <v>159</v>
      </c>
      <c r="C915" s="1">
        <v>45895.343007002317</v>
      </c>
      <c r="D915" t="s">
        <v>13</v>
      </c>
      <c r="E915">
        <v>13.6</v>
      </c>
    </row>
    <row r="916" spans="1:5" x14ac:dyDescent="0.35">
      <c r="A916" t="s">
        <v>1208</v>
      </c>
      <c r="B916" t="s">
        <v>856</v>
      </c>
      <c r="C916" s="1">
        <v>45620.343007002317</v>
      </c>
      <c r="D916" t="s">
        <v>50</v>
      </c>
      <c r="E916">
        <v>5</v>
      </c>
    </row>
    <row r="917" spans="1:5" x14ac:dyDescent="0.35">
      <c r="A917" t="s">
        <v>1209</v>
      </c>
      <c r="B917" t="s">
        <v>1210</v>
      </c>
      <c r="C917" s="1">
        <v>45740.343007002317</v>
      </c>
      <c r="D917" t="s">
        <v>13</v>
      </c>
      <c r="E917">
        <v>12.17</v>
      </c>
    </row>
    <row r="918" spans="1:5" x14ac:dyDescent="0.35">
      <c r="A918" t="s">
        <v>1211</v>
      </c>
      <c r="B918" t="s">
        <v>870</v>
      </c>
      <c r="C918" s="1">
        <v>45608.343007002317</v>
      </c>
      <c r="D918" t="s">
        <v>50</v>
      </c>
      <c r="E918">
        <v>4.29</v>
      </c>
    </row>
    <row r="919" spans="1:5" x14ac:dyDescent="0.35">
      <c r="A919" t="s">
        <v>1212</v>
      </c>
      <c r="B919" t="s">
        <v>687</v>
      </c>
      <c r="C919" s="1">
        <v>45807.343007002317</v>
      </c>
      <c r="D919" t="s">
        <v>50</v>
      </c>
      <c r="E919">
        <v>5.57</v>
      </c>
    </row>
    <row r="920" spans="1:5" x14ac:dyDescent="0.35">
      <c r="A920" t="s">
        <v>1213</v>
      </c>
      <c r="B920" t="s">
        <v>248</v>
      </c>
      <c r="C920" s="1">
        <v>45620.343007002317</v>
      </c>
      <c r="D920" t="s">
        <v>10</v>
      </c>
      <c r="E920">
        <v>14.52</v>
      </c>
    </row>
    <row r="921" spans="1:5" x14ac:dyDescent="0.35">
      <c r="A921" t="s">
        <v>1214</v>
      </c>
      <c r="B921" t="s">
        <v>736</v>
      </c>
      <c r="C921" s="1">
        <v>45663.343007002317</v>
      </c>
      <c r="D921" t="s">
        <v>10</v>
      </c>
      <c r="E921">
        <v>15</v>
      </c>
    </row>
    <row r="922" spans="1:5" x14ac:dyDescent="0.35">
      <c r="A922" t="s">
        <v>1215</v>
      </c>
      <c r="B922" t="s">
        <v>444</v>
      </c>
      <c r="C922" s="1">
        <v>45662.343007002317</v>
      </c>
      <c r="D922" t="s">
        <v>29</v>
      </c>
      <c r="E922">
        <v>27.85</v>
      </c>
    </row>
    <row r="923" spans="1:5" x14ac:dyDescent="0.35">
      <c r="A923" t="s">
        <v>1216</v>
      </c>
      <c r="B923" t="s">
        <v>181</v>
      </c>
      <c r="C923" s="1">
        <v>45828.343007002317</v>
      </c>
      <c r="D923" t="s">
        <v>50</v>
      </c>
      <c r="E923">
        <v>5.2</v>
      </c>
    </row>
    <row r="924" spans="1:5" x14ac:dyDescent="0.35">
      <c r="A924" t="s">
        <v>1217</v>
      </c>
      <c r="B924" t="s">
        <v>1218</v>
      </c>
      <c r="C924" s="1">
        <v>45704.343007002317</v>
      </c>
      <c r="D924" t="s">
        <v>16</v>
      </c>
      <c r="E924">
        <v>8.8000000000000007</v>
      </c>
    </row>
    <row r="925" spans="1:5" x14ac:dyDescent="0.35">
      <c r="A925" t="s">
        <v>1219</v>
      </c>
      <c r="B925" t="s">
        <v>223</v>
      </c>
      <c r="C925" s="1">
        <v>45741.343007002317</v>
      </c>
      <c r="D925" t="s">
        <v>7</v>
      </c>
      <c r="E925">
        <v>41.44</v>
      </c>
    </row>
    <row r="926" spans="1:5" x14ac:dyDescent="0.35">
      <c r="A926" t="s">
        <v>1220</v>
      </c>
      <c r="B926" t="s">
        <v>856</v>
      </c>
      <c r="C926" s="1">
        <v>45706.343007002317</v>
      </c>
      <c r="D926" t="s">
        <v>29</v>
      </c>
      <c r="E926">
        <v>24.08</v>
      </c>
    </row>
    <row r="927" spans="1:5" x14ac:dyDescent="0.35">
      <c r="A927" t="s">
        <v>1221</v>
      </c>
      <c r="B927" t="s">
        <v>922</v>
      </c>
      <c r="C927" s="1">
        <v>45823.343007002317</v>
      </c>
      <c r="D927" t="s">
        <v>10</v>
      </c>
      <c r="E927">
        <v>14.82</v>
      </c>
    </row>
    <row r="928" spans="1:5" x14ac:dyDescent="0.35">
      <c r="A928" t="s">
        <v>1222</v>
      </c>
      <c r="B928" t="s">
        <v>202</v>
      </c>
      <c r="C928" s="1">
        <v>45706.343007002317</v>
      </c>
      <c r="D928" t="s">
        <v>13</v>
      </c>
      <c r="E928">
        <v>9.74</v>
      </c>
    </row>
    <row r="929" spans="1:5" x14ac:dyDescent="0.35">
      <c r="A929" t="s">
        <v>1223</v>
      </c>
      <c r="B929" t="s">
        <v>562</v>
      </c>
      <c r="C929" s="1">
        <v>45629.343007002317</v>
      </c>
      <c r="D929" t="s">
        <v>29</v>
      </c>
      <c r="E929">
        <v>22.1</v>
      </c>
    </row>
    <row r="930" spans="1:5" x14ac:dyDescent="0.35">
      <c r="A930" t="s">
        <v>1224</v>
      </c>
      <c r="B930" t="s">
        <v>1142</v>
      </c>
      <c r="C930" s="1">
        <v>45706.343007002317</v>
      </c>
      <c r="D930" t="s">
        <v>29</v>
      </c>
      <c r="E930">
        <v>22.81</v>
      </c>
    </row>
    <row r="931" spans="1:5" x14ac:dyDescent="0.35">
      <c r="A931" t="s">
        <v>1225</v>
      </c>
      <c r="B931" t="s">
        <v>677</v>
      </c>
      <c r="C931" s="1">
        <v>45859.343007002317</v>
      </c>
      <c r="D931" t="s">
        <v>29</v>
      </c>
      <c r="E931">
        <v>27.13</v>
      </c>
    </row>
    <row r="932" spans="1:5" x14ac:dyDescent="0.35">
      <c r="A932" t="s">
        <v>1226</v>
      </c>
      <c r="B932" t="s">
        <v>479</v>
      </c>
      <c r="C932" s="1">
        <v>45831.343007002317</v>
      </c>
      <c r="D932" t="s">
        <v>29</v>
      </c>
      <c r="E932">
        <v>20.11</v>
      </c>
    </row>
    <row r="933" spans="1:5" x14ac:dyDescent="0.35">
      <c r="A933" t="s">
        <v>1227</v>
      </c>
      <c r="B933" t="s">
        <v>132</v>
      </c>
      <c r="C933" s="1">
        <v>45678.343007002317</v>
      </c>
      <c r="D933" t="s">
        <v>7</v>
      </c>
      <c r="E933">
        <v>38.54</v>
      </c>
    </row>
    <row r="934" spans="1:5" x14ac:dyDescent="0.35">
      <c r="A934" t="s">
        <v>1228</v>
      </c>
      <c r="B934" t="s">
        <v>359</v>
      </c>
      <c r="C934" s="1">
        <v>45637.343007002317</v>
      </c>
      <c r="D934" t="s">
        <v>13</v>
      </c>
      <c r="E934">
        <v>14.04</v>
      </c>
    </row>
    <row r="935" spans="1:5" x14ac:dyDescent="0.35">
      <c r="A935" t="s">
        <v>1229</v>
      </c>
      <c r="B935" t="s">
        <v>287</v>
      </c>
      <c r="C935" s="1">
        <v>45696.343007002317</v>
      </c>
      <c r="D935" t="s">
        <v>13</v>
      </c>
      <c r="E935">
        <v>10.14</v>
      </c>
    </row>
    <row r="936" spans="1:5" x14ac:dyDescent="0.35">
      <c r="A936" t="s">
        <v>1230</v>
      </c>
      <c r="B936" t="s">
        <v>70</v>
      </c>
      <c r="C936" s="1">
        <v>45601.343007002317</v>
      </c>
      <c r="D936" t="s">
        <v>13</v>
      </c>
      <c r="E936">
        <v>12.08</v>
      </c>
    </row>
    <row r="937" spans="1:5" x14ac:dyDescent="0.35">
      <c r="A937" t="s">
        <v>1231</v>
      </c>
      <c r="B937" t="s">
        <v>167</v>
      </c>
      <c r="C937" s="1">
        <v>45775.343007002317</v>
      </c>
      <c r="D937" t="s">
        <v>50</v>
      </c>
      <c r="E937">
        <v>5.57</v>
      </c>
    </row>
    <row r="938" spans="1:5" x14ac:dyDescent="0.35">
      <c r="A938" t="s">
        <v>1232</v>
      </c>
      <c r="B938" t="s">
        <v>313</v>
      </c>
      <c r="C938" s="1">
        <v>45877.343007002317</v>
      </c>
      <c r="D938" t="s">
        <v>16</v>
      </c>
      <c r="E938">
        <v>11.77</v>
      </c>
    </row>
    <row r="939" spans="1:5" x14ac:dyDescent="0.35">
      <c r="A939" t="s">
        <v>1233</v>
      </c>
      <c r="B939" t="s">
        <v>217</v>
      </c>
      <c r="C939" s="1">
        <v>45915.343007002317</v>
      </c>
      <c r="D939" t="s">
        <v>13</v>
      </c>
      <c r="E939">
        <v>13.18</v>
      </c>
    </row>
    <row r="940" spans="1:5" x14ac:dyDescent="0.35">
      <c r="A940" t="s">
        <v>1234</v>
      </c>
      <c r="B940" t="s">
        <v>309</v>
      </c>
      <c r="C940" s="1">
        <v>45821.343007002317</v>
      </c>
      <c r="D940" t="s">
        <v>29</v>
      </c>
      <c r="E940">
        <v>27.21</v>
      </c>
    </row>
    <row r="941" spans="1:5" x14ac:dyDescent="0.35">
      <c r="A941" t="s">
        <v>1235</v>
      </c>
      <c r="B941" t="s">
        <v>465</v>
      </c>
      <c r="C941" s="1">
        <v>45910.343007002317</v>
      </c>
      <c r="D941" t="s">
        <v>29</v>
      </c>
      <c r="E941">
        <v>28.26</v>
      </c>
    </row>
    <row r="942" spans="1:5" x14ac:dyDescent="0.35">
      <c r="A942" t="s">
        <v>1236</v>
      </c>
      <c r="B942" t="s">
        <v>400</v>
      </c>
      <c r="C942" s="1">
        <v>45960.343007002317</v>
      </c>
      <c r="D942" t="s">
        <v>13</v>
      </c>
      <c r="E942">
        <v>11.74</v>
      </c>
    </row>
    <row r="943" spans="1:5" x14ac:dyDescent="0.35">
      <c r="A943" t="s">
        <v>1237</v>
      </c>
      <c r="B943" t="s">
        <v>795</v>
      </c>
      <c r="C943" s="1">
        <v>45824.343007002317</v>
      </c>
      <c r="D943" t="s">
        <v>13</v>
      </c>
      <c r="E943">
        <v>13.47</v>
      </c>
    </row>
    <row r="944" spans="1:5" x14ac:dyDescent="0.35">
      <c r="A944" t="s">
        <v>1238</v>
      </c>
      <c r="B944" t="s">
        <v>82</v>
      </c>
      <c r="C944" s="1">
        <v>45884.343007002317</v>
      </c>
      <c r="D944" t="s">
        <v>29</v>
      </c>
      <c r="E944">
        <v>20.079999999999998</v>
      </c>
    </row>
    <row r="945" spans="1:5" x14ac:dyDescent="0.35">
      <c r="A945" t="s">
        <v>1239</v>
      </c>
      <c r="B945" t="s">
        <v>258</v>
      </c>
      <c r="C945" s="1">
        <v>45745.343007002317</v>
      </c>
      <c r="D945" t="s">
        <v>50</v>
      </c>
      <c r="E945">
        <v>5.85</v>
      </c>
    </row>
    <row r="946" spans="1:5" x14ac:dyDescent="0.35">
      <c r="A946" t="s">
        <v>1240</v>
      </c>
      <c r="B946" t="s">
        <v>382</v>
      </c>
      <c r="C946" s="1">
        <v>45872.343007002317</v>
      </c>
      <c r="D946" t="s">
        <v>10</v>
      </c>
      <c r="E946">
        <v>14.66</v>
      </c>
    </row>
    <row r="947" spans="1:5" x14ac:dyDescent="0.35">
      <c r="A947" t="s">
        <v>1241</v>
      </c>
      <c r="B947" t="s">
        <v>555</v>
      </c>
      <c r="C947" s="1">
        <v>45793.343007002317</v>
      </c>
      <c r="D947" t="s">
        <v>10</v>
      </c>
      <c r="E947">
        <v>15.32</v>
      </c>
    </row>
    <row r="948" spans="1:5" x14ac:dyDescent="0.35">
      <c r="A948" t="s">
        <v>1242</v>
      </c>
      <c r="B948" t="s">
        <v>811</v>
      </c>
      <c r="C948" s="1">
        <v>45665.343007002317</v>
      </c>
      <c r="D948" t="s">
        <v>13</v>
      </c>
      <c r="E948">
        <v>10.82</v>
      </c>
    </row>
    <row r="949" spans="1:5" x14ac:dyDescent="0.35">
      <c r="A949" t="s">
        <v>1243</v>
      </c>
      <c r="B949" t="s">
        <v>118</v>
      </c>
      <c r="C949" s="1">
        <v>45707.343007002317</v>
      </c>
      <c r="D949" t="s">
        <v>7</v>
      </c>
      <c r="E949">
        <v>43.88</v>
      </c>
    </row>
    <row r="950" spans="1:5" x14ac:dyDescent="0.35">
      <c r="A950" t="s">
        <v>1244</v>
      </c>
      <c r="B950" t="s">
        <v>157</v>
      </c>
      <c r="C950" s="1">
        <v>45599.343007002317</v>
      </c>
      <c r="D950" t="s">
        <v>13</v>
      </c>
      <c r="E950">
        <v>9.9700000000000006</v>
      </c>
    </row>
    <row r="951" spans="1:5" x14ac:dyDescent="0.35">
      <c r="A951" t="s">
        <v>1245</v>
      </c>
      <c r="B951" t="s">
        <v>1246</v>
      </c>
      <c r="C951" s="1">
        <v>45945.343007002317</v>
      </c>
      <c r="D951" t="s">
        <v>13</v>
      </c>
      <c r="E951">
        <v>13.79</v>
      </c>
    </row>
    <row r="952" spans="1:5" x14ac:dyDescent="0.35">
      <c r="A952" t="s">
        <v>1247</v>
      </c>
      <c r="B952" t="s">
        <v>691</v>
      </c>
      <c r="C952" s="1">
        <v>45926.343007002317</v>
      </c>
      <c r="D952" t="s">
        <v>10</v>
      </c>
      <c r="E952">
        <v>16.97</v>
      </c>
    </row>
    <row r="953" spans="1:5" x14ac:dyDescent="0.35">
      <c r="A953" t="s">
        <v>1248</v>
      </c>
      <c r="B953" t="s">
        <v>1052</v>
      </c>
      <c r="C953" s="1">
        <v>45913.343007002317</v>
      </c>
      <c r="D953" t="s">
        <v>29</v>
      </c>
      <c r="E953">
        <v>22.16</v>
      </c>
    </row>
    <row r="954" spans="1:5" x14ac:dyDescent="0.35">
      <c r="A954" t="s">
        <v>1249</v>
      </c>
      <c r="B954" t="s">
        <v>393</v>
      </c>
      <c r="C954" s="1">
        <v>45945.343007002317</v>
      </c>
      <c r="D954" t="s">
        <v>13</v>
      </c>
      <c r="E954">
        <v>13.48</v>
      </c>
    </row>
    <row r="955" spans="1:5" x14ac:dyDescent="0.35">
      <c r="A955" t="s">
        <v>1250</v>
      </c>
      <c r="B955" t="s">
        <v>31</v>
      </c>
      <c r="C955" s="1">
        <v>45690.343007002317</v>
      </c>
      <c r="D955" t="s">
        <v>29</v>
      </c>
      <c r="E955">
        <v>27.86</v>
      </c>
    </row>
    <row r="956" spans="1:5" x14ac:dyDescent="0.35">
      <c r="A956" t="s">
        <v>1251</v>
      </c>
      <c r="B956" t="s">
        <v>382</v>
      </c>
      <c r="C956" s="1">
        <v>45747.343007002317</v>
      </c>
      <c r="D956" t="s">
        <v>29</v>
      </c>
      <c r="E956">
        <v>26.32</v>
      </c>
    </row>
    <row r="957" spans="1:5" x14ac:dyDescent="0.35">
      <c r="A957" t="s">
        <v>1252</v>
      </c>
      <c r="B957" t="s">
        <v>22</v>
      </c>
      <c r="C957" s="1">
        <v>45906.343007002317</v>
      </c>
      <c r="D957" t="s">
        <v>7</v>
      </c>
      <c r="E957">
        <v>37.979999999999997</v>
      </c>
    </row>
    <row r="958" spans="1:5" x14ac:dyDescent="0.35">
      <c r="A958" t="s">
        <v>1253</v>
      </c>
      <c r="B958" t="s">
        <v>173</v>
      </c>
      <c r="C958" s="1">
        <v>45732.343007002317</v>
      </c>
      <c r="D958" t="s">
        <v>29</v>
      </c>
      <c r="E958">
        <v>22.71</v>
      </c>
    </row>
    <row r="959" spans="1:5" x14ac:dyDescent="0.35">
      <c r="A959" t="s">
        <v>1254</v>
      </c>
      <c r="B959" t="s">
        <v>171</v>
      </c>
      <c r="C959" s="1">
        <v>45842.343007002317</v>
      </c>
      <c r="D959" t="s">
        <v>10</v>
      </c>
      <c r="E959">
        <v>13.39</v>
      </c>
    </row>
    <row r="960" spans="1:5" x14ac:dyDescent="0.35">
      <c r="A960" t="s">
        <v>1255</v>
      </c>
      <c r="B960" t="s">
        <v>202</v>
      </c>
      <c r="C960" s="1">
        <v>45838.343007002317</v>
      </c>
      <c r="D960" t="s">
        <v>50</v>
      </c>
      <c r="E960">
        <v>4.6399999999999997</v>
      </c>
    </row>
    <row r="961" spans="1:5" x14ac:dyDescent="0.35">
      <c r="A961" t="s">
        <v>1256</v>
      </c>
      <c r="B961" t="s">
        <v>153</v>
      </c>
      <c r="C961" s="1">
        <v>45626.343007002317</v>
      </c>
      <c r="D961" t="s">
        <v>50</v>
      </c>
      <c r="E961">
        <v>5.81</v>
      </c>
    </row>
    <row r="962" spans="1:5" x14ac:dyDescent="0.35">
      <c r="A962" t="s">
        <v>1257</v>
      </c>
      <c r="B962" t="s">
        <v>922</v>
      </c>
      <c r="C962" s="1">
        <v>45635.343007002317</v>
      </c>
      <c r="D962" t="s">
        <v>16</v>
      </c>
      <c r="E962">
        <v>8.31</v>
      </c>
    </row>
    <row r="963" spans="1:5" x14ac:dyDescent="0.35">
      <c r="A963" t="s">
        <v>1258</v>
      </c>
      <c r="B963" t="s">
        <v>230</v>
      </c>
      <c r="C963" s="1">
        <v>45824.343007002317</v>
      </c>
      <c r="D963" t="s">
        <v>13</v>
      </c>
      <c r="E963">
        <v>13.58</v>
      </c>
    </row>
    <row r="964" spans="1:5" x14ac:dyDescent="0.35">
      <c r="A964" t="s">
        <v>1259</v>
      </c>
      <c r="B964" t="s">
        <v>1019</v>
      </c>
      <c r="C964" s="1">
        <v>45631.343007002317</v>
      </c>
      <c r="D964" t="s">
        <v>10</v>
      </c>
      <c r="E964">
        <v>14.09</v>
      </c>
    </row>
    <row r="965" spans="1:5" x14ac:dyDescent="0.35">
      <c r="A965" t="s">
        <v>1260</v>
      </c>
      <c r="B965" t="s">
        <v>585</v>
      </c>
      <c r="C965" s="1">
        <v>45818.343007002317</v>
      </c>
      <c r="D965" t="s">
        <v>29</v>
      </c>
      <c r="E965">
        <v>25.22</v>
      </c>
    </row>
    <row r="966" spans="1:5" x14ac:dyDescent="0.35">
      <c r="A966" t="s">
        <v>1261</v>
      </c>
      <c r="B966" t="s">
        <v>439</v>
      </c>
      <c r="C966" s="1">
        <v>45601.343007002317</v>
      </c>
      <c r="D966" t="s">
        <v>50</v>
      </c>
      <c r="E966">
        <v>5.59</v>
      </c>
    </row>
    <row r="967" spans="1:5" x14ac:dyDescent="0.35">
      <c r="A967" t="s">
        <v>1262</v>
      </c>
      <c r="B967" t="s">
        <v>856</v>
      </c>
      <c r="C967" s="1">
        <v>45917.343007002317</v>
      </c>
      <c r="D967" t="s">
        <v>10</v>
      </c>
      <c r="E967">
        <v>17.309999999999999</v>
      </c>
    </row>
    <row r="968" spans="1:5" x14ac:dyDescent="0.35">
      <c r="A968" t="s">
        <v>1263</v>
      </c>
      <c r="B968" t="s">
        <v>15</v>
      </c>
      <c r="C968" s="1">
        <v>45815.343007002317</v>
      </c>
      <c r="D968" t="s">
        <v>50</v>
      </c>
      <c r="E968">
        <v>4.6900000000000004</v>
      </c>
    </row>
    <row r="969" spans="1:5" x14ac:dyDescent="0.35">
      <c r="A969" t="s">
        <v>1264</v>
      </c>
      <c r="B969" t="s">
        <v>1089</v>
      </c>
      <c r="C969" s="1">
        <v>45670.343007002317</v>
      </c>
      <c r="D969" t="s">
        <v>29</v>
      </c>
      <c r="E969">
        <v>24.62</v>
      </c>
    </row>
    <row r="970" spans="1:5" x14ac:dyDescent="0.35">
      <c r="A970" t="s">
        <v>1265</v>
      </c>
      <c r="B970" t="s">
        <v>102</v>
      </c>
      <c r="C970" s="1">
        <v>45599.343007002317</v>
      </c>
      <c r="D970" t="s">
        <v>50</v>
      </c>
      <c r="E970">
        <v>4.83</v>
      </c>
    </row>
    <row r="971" spans="1:5" x14ac:dyDescent="0.35">
      <c r="A971" t="s">
        <v>1266</v>
      </c>
      <c r="B971" t="s">
        <v>628</v>
      </c>
      <c r="C971" s="1">
        <v>45930.343007002317</v>
      </c>
      <c r="D971" t="s">
        <v>13</v>
      </c>
      <c r="E971">
        <v>9.66</v>
      </c>
    </row>
    <row r="972" spans="1:5" x14ac:dyDescent="0.35">
      <c r="A972" t="s">
        <v>1267</v>
      </c>
      <c r="B972" t="s">
        <v>682</v>
      </c>
      <c r="C972" s="1">
        <v>45729.343007002317</v>
      </c>
      <c r="D972" t="s">
        <v>13</v>
      </c>
      <c r="E972">
        <v>11.02</v>
      </c>
    </row>
    <row r="973" spans="1:5" x14ac:dyDescent="0.35">
      <c r="A973" t="s">
        <v>1268</v>
      </c>
      <c r="B973" t="s">
        <v>272</v>
      </c>
      <c r="C973" s="1">
        <v>45713.343007002317</v>
      </c>
      <c r="D973" t="s">
        <v>16</v>
      </c>
      <c r="E973">
        <v>9.84</v>
      </c>
    </row>
    <row r="974" spans="1:5" x14ac:dyDescent="0.35">
      <c r="A974" t="s">
        <v>1269</v>
      </c>
      <c r="B974" t="s">
        <v>885</v>
      </c>
      <c r="C974" s="1">
        <v>45689.343007002317</v>
      </c>
      <c r="D974" t="s">
        <v>16</v>
      </c>
      <c r="E974">
        <v>9.64</v>
      </c>
    </row>
    <row r="975" spans="1:5" x14ac:dyDescent="0.35">
      <c r="A975" t="s">
        <v>1270</v>
      </c>
      <c r="B975" t="s">
        <v>289</v>
      </c>
      <c r="C975" s="1">
        <v>45657.343007002317</v>
      </c>
      <c r="D975" t="s">
        <v>50</v>
      </c>
      <c r="E975">
        <v>5.44</v>
      </c>
    </row>
    <row r="976" spans="1:5" x14ac:dyDescent="0.35">
      <c r="A976" t="s">
        <v>1271</v>
      </c>
      <c r="B976" t="s">
        <v>250</v>
      </c>
      <c r="C976" s="1">
        <v>45789.343007002317</v>
      </c>
      <c r="D976" t="s">
        <v>10</v>
      </c>
      <c r="E976">
        <v>14.31</v>
      </c>
    </row>
    <row r="977" spans="1:5" x14ac:dyDescent="0.35">
      <c r="A977" t="s">
        <v>1272</v>
      </c>
      <c r="B977" t="s">
        <v>213</v>
      </c>
      <c r="C977" s="1">
        <v>45930.343007002317</v>
      </c>
      <c r="D977" t="s">
        <v>13</v>
      </c>
      <c r="E977">
        <v>11.95</v>
      </c>
    </row>
    <row r="978" spans="1:5" x14ac:dyDescent="0.35">
      <c r="A978" t="s">
        <v>1273</v>
      </c>
      <c r="B978" t="s">
        <v>719</v>
      </c>
      <c r="C978" s="1">
        <v>45798.343007002317</v>
      </c>
      <c r="D978" t="s">
        <v>10</v>
      </c>
      <c r="E978">
        <v>14.58</v>
      </c>
    </row>
    <row r="979" spans="1:5" x14ac:dyDescent="0.35">
      <c r="A979" t="s">
        <v>1274</v>
      </c>
      <c r="B979" t="s">
        <v>898</v>
      </c>
      <c r="C979" s="1">
        <v>45621.343007002317</v>
      </c>
      <c r="D979" t="s">
        <v>10</v>
      </c>
      <c r="E979">
        <v>16.440000000000001</v>
      </c>
    </row>
    <row r="980" spans="1:5" x14ac:dyDescent="0.35">
      <c r="A980" t="s">
        <v>1275</v>
      </c>
      <c r="B980" t="s">
        <v>272</v>
      </c>
      <c r="C980" s="1">
        <v>45768.343007002317</v>
      </c>
      <c r="D980" t="s">
        <v>50</v>
      </c>
      <c r="E980">
        <v>5.73</v>
      </c>
    </row>
    <row r="981" spans="1:5" x14ac:dyDescent="0.35">
      <c r="A981" t="s">
        <v>1276</v>
      </c>
      <c r="B981" t="s">
        <v>315</v>
      </c>
      <c r="C981" s="1">
        <v>45895.343007002317</v>
      </c>
      <c r="D981" t="s">
        <v>10</v>
      </c>
      <c r="E981">
        <v>15.19</v>
      </c>
    </row>
    <row r="982" spans="1:5" x14ac:dyDescent="0.35">
      <c r="A982" t="s">
        <v>1277</v>
      </c>
      <c r="B982" t="s">
        <v>1047</v>
      </c>
      <c r="C982" s="1">
        <v>45728.343007002317</v>
      </c>
      <c r="D982" t="s">
        <v>13</v>
      </c>
      <c r="E982">
        <v>13.39</v>
      </c>
    </row>
    <row r="983" spans="1:5" x14ac:dyDescent="0.35">
      <c r="A983" t="s">
        <v>1278</v>
      </c>
      <c r="B983" t="s">
        <v>60</v>
      </c>
      <c r="C983" s="1">
        <v>45921.343007002317</v>
      </c>
      <c r="D983" t="s">
        <v>29</v>
      </c>
      <c r="E983">
        <v>22.97</v>
      </c>
    </row>
    <row r="984" spans="1:5" x14ac:dyDescent="0.35">
      <c r="A984" t="s">
        <v>1279</v>
      </c>
      <c r="B984" t="s">
        <v>1280</v>
      </c>
      <c r="C984" s="1">
        <v>45713.343007002317</v>
      </c>
      <c r="D984" t="s">
        <v>16</v>
      </c>
      <c r="E984">
        <v>10.17</v>
      </c>
    </row>
    <row r="985" spans="1:5" x14ac:dyDescent="0.35">
      <c r="A985" t="s">
        <v>1281</v>
      </c>
      <c r="B985" t="s">
        <v>246</v>
      </c>
      <c r="C985" s="1">
        <v>45919.343007002317</v>
      </c>
      <c r="D985" t="s">
        <v>29</v>
      </c>
      <c r="E985">
        <v>23.45</v>
      </c>
    </row>
    <row r="986" spans="1:5" x14ac:dyDescent="0.35">
      <c r="A986" t="s">
        <v>1282</v>
      </c>
      <c r="B986" t="s">
        <v>465</v>
      </c>
      <c r="C986" s="1">
        <v>45870.343007002317</v>
      </c>
      <c r="D986" t="s">
        <v>10</v>
      </c>
      <c r="E986">
        <v>14.49</v>
      </c>
    </row>
    <row r="987" spans="1:5" x14ac:dyDescent="0.35">
      <c r="A987" t="s">
        <v>1283</v>
      </c>
      <c r="B987" t="s">
        <v>511</v>
      </c>
      <c r="C987" s="1">
        <v>45807.343007002317</v>
      </c>
      <c r="D987" t="s">
        <v>29</v>
      </c>
      <c r="E987">
        <v>27.32</v>
      </c>
    </row>
    <row r="988" spans="1:5" x14ac:dyDescent="0.35">
      <c r="A988" t="s">
        <v>1284</v>
      </c>
      <c r="B988" t="s">
        <v>820</v>
      </c>
      <c r="C988" s="1">
        <v>45820.343007002317</v>
      </c>
      <c r="D988" t="s">
        <v>13</v>
      </c>
      <c r="E988">
        <v>13.83</v>
      </c>
    </row>
    <row r="989" spans="1:5" x14ac:dyDescent="0.35">
      <c r="A989" t="s">
        <v>1285</v>
      </c>
      <c r="B989" t="s">
        <v>45</v>
      </c>
      <c r="C989" s="1">
        <v>45615.343007002317</v>
      </c>
      <c r="D989" t="s">
        <v>13</v>
      </c>
      <c r="E989">
        <v>10.18</v>
      </c>
    </row>
    <row r="990" spans="1:5" x14ac:dyDescent="0.35">
      <c r="A990" t="s">
        <v>1286</v>
      </c>
      <c r="B990" t="s">
        <v>321</v>
      </c>
      <c r="C990" s="1">
        <v>45708.343007002317</v>
      </c>
      <c r="D990" t="s">
        <v>10</v>
      </c>
      <c r="E990">
        <v>15.81</v>
      </c>
    </row>
    <row r="991" spans="1:5" x14ac:dyDescent="0.35">
      <c r="A991" t="s">
        <v>1287</v>
      </c>
      <c r="B991" t="s">
        <v>289</v>
      </c>
      <c r="C991" s="1">
        <v>45735.343007002317</v>
      </c>
      <c r="D991" t="s">
        <v>50</v>
      </c>
      <c r="E991">
        <v>5.16</v>
      </c>
    </row>
    <row r="992" spans="1:5" x14ac:dyDescent="0.35">
      <c r="A992" t="s">
        <v>1288</v>
      </c>
      <c r="B992" t="s">
        <v>555</v>
      </c>
      <c r="C992" s="1">
        <v>45642.343007002317</v>
      </c>
      <c r="D992" t="s">
        <v>29</v>
      </c>
      <c r="E992">
        <v>21.18</v>
      </c>
    </row>
    <row r="993" spans="1:5" x14ac:dyDescent="0.35">
      <c r="A993" t="s">
        <v>1289</v>
      </c>
      <c r="B993" t="s">
        <v>418</v>
      </c>
      <c r="C993" s="1">
        <v>45596.343007002317</v>
      </c>
      <c r="D993" t="s">
        <v>50</v>
      </c>
      <c r="E993">
        <v>4.42</v>
      </c>
    </row>
    <row r="994" spans="1:5" x14ac:dyDescent="0.35">
      <c r="A994" t="s">
        <v>1290</v>
      </c>
      <c r="B994" t="s">
        <v>9</v>
      </c>
      <c r="C994" s="1">
        <v>45685.343007002317</v>
      </c>
      <c r="D994" t="s">
        <v>50</v>
      </c>
      <c r="E994">
        <v>4.62</v>
      </c>
    </row>
    <row r="995" spans="1:5" x14ac:dyDescent="0.35">
      <c r="A995" t="s">
        <v>1291</v>
      </c>
      <c r="B995" t="s">
        <v>409</v>
      </c>
      <c r="C995" s="1">
        <v>45737.343007002317</v>
      </c>
      <c r="D995" t="s">
        <v>7</v>
      </c>
      <c r="E995">
        <v>34.67</v>
      </c>
    </row>
    <row r="996" spans="1:5" x14ac:dyDescent="0.35">
      <c r="A996" t="s">
        <v>1292</v>
      </c>
      <c r="B996" t="s">
        <v>243</v>
      </c>
      <c r="C996" s="1">
        <v>45915.343007002317</v>
      </c>
      <c r="D996" t="s">
        <v>10</v>
      </c>
      <c r="E996">
        <v>13.46</v>
      </c>
    </row>
    <row r="997" spans="1:5" x14ac:dyDescent="0.35">
      <c r="A997" t="s">
        <v>1293</v>
      </c>
      <c r="B997" t="s">
        <v>284</v>
      </c>
      <c r="C997" s="1">
        <v>45633.343007002317</v>
      </c>
      <c r="D997" t="s">
        <v>16</v>
      </c>
      <c r="E997">
        <v>9.07</v>
      </c>
    </row>
    <row r="998" spans="1:5" x14ac:dyDescent="0.35">
      <c r="A998" t="s">
        <v>1294</v>
      </c>
      <c r="B998" t="s">
        <v>213</v>
      </c>
      <c r="C998" s="1">
        <v>45888.343007002317</v>
      </c>
      <c r="D998" t="s">
        <v>13</v>
      </c>
      <c r="E998">
        <v>11.21</v>
      </c>
    </row>
    <row r="999" spans="1:5" x14ac:dyDescent="0.35">
      <c r="A999" t="s">
        <v>1295</v>
      </c>
      <c r="B999" t="s">
        <v>108</v>
      </c>
      <c r="C999" s="1">
        <v>45734.343007002317</v>
      </c>
      <c r="D999" t="s">
        <v>13</v>
      </c>
      <c r="E999">
        <v>13.2</v>
      </c>
    </row>
    <row r="1000" spans="1:5" x14ac:dyDescent="0.35">
      <c r="A1000" t="s">
        <v>1296</v>
      </c>
      <c r="B1000" t="s">
        <v>713</v>
      </c>
      <c r="C1000" s="1">
        <v>45951.343007002317</v>
      </c>
      <c r="D1000" t="s">
        <v>10</v>
      </c>
      <c r="E1000">
        <v>15.43</v>
      </c>
    </row>
    <row r="1001" spans="1:5" x14ac:dyDescent="0.35">
      <c r="A1001" t="s">
        <v>1297</v>
      </c>
      <c r="B1001" t="s">
        <v>192</v>
      </c>
      <c r="C1001" s="1">
        <v>45928.343007002317</v>
      </c>
      <c r="D1001" t="s">
        <v>16</v>
      </c>
      <c r="E1001">
        <v>11.94</v>
      </c>
    </row>
  </sheetData>
  <mergeCells count="1">
    <mergeCell ref="I1:Q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5CA6-41BF-4723-AC74-6CA636E7FEA8}">
  <dimension ref="A3:G28"/>
  <sheetViews>
    <sheetView workbookViewId="0">
      <selection activeCell="C15" sqref="C15"/>
    </sheetView>
  </sheetViews>
  <sheetFormatPr defaultRowHeight="14.5" x14ac:dyDescent="0.35"/>
  <cols>
    <col min="1" max="1" width="17.81640625" bestFit="1" customWidth="1"/>
    <col min="2" max="2" width="18.453125" bestFit="1" customWidth="1"/>
    <col min="3" max="3" width="17.81640625" bestFit="1" customWidth="1"/>
    <col min="4" max="4" width="21.6328125" bestFit="1" customWidth="1"/>
    <col min="5" max="5" width="18.453125" bestFit="1" customWidth="1"/>
  </cols>
  <sheetData>
    <row r="3" spans="1:7" x14ac:dyDescent="0.35">
      <c r="A3" s="11" t="s">
        <v>1298</v>
      </c>
      <c r="B3" t="s">
        <v>1318</v>
      </c>
    </row>
    <row r="4" spans="1:7" x14ac:dyDescent="0.35">
      <c r="A4" s="12" t="s">
        <v>1313</v>
      </c>
      <c r="B4" s="13">
        <v>6</v>
      </c>
    </row>
    <row r="5" spans="1:7" x14ac:dyDescent="0.35">
      <c r="A5" s="12" t="s">
        <v>1314</v>
      </c>
      <c r="B5" s="13">
        <v>3</v>
      </c>
    </row>
    <row r="6" spans="1:7" x14ac:dyDescent="0.35">
      <c r="A6" s="12" t="s">
        <v>1315</v>
      </c>
      <c r="B6" s="13">
        <v>75</v>
      </c>
    </row>
    <row r="7" spans="1:7" x14ac:dyDescent="0.35">
      <c r="A7" s="12" t="s">
        <v>1316</v>
      </c>
      <c r="B7" s="13">
        <v>66</v>
      </c>
    </row>
    <row r="8" spans="1:7" x14ac:dyDescent="0.35">
      <c r="A8" s="12" t="s">
        <v>1317</v>
      </c>
      <c r="B8" s="13">
        <v>137</v>
      </c>
    </row>
    <row r="9" spans="1:7" x14ac:dyDescent="0.35">
      <c r="A9" s="12" t="s">
        <v>1299</v>
      </c>
      <c r="B9" s="13">
        <v>287</v>
      </c>
    </row>
    <row r="11" spans="1:7" x14ac:dyDescent="0.35">
      <c r="A11" t="s">
        <v>1318</v>
      </c>
      <c r="B11" t="s">
        <v>1319</v>
      </c>
      <c r="C11" t="s">
        <v>1320</v>
      </c>
      <c r="D11" t="s">
        <v>1322</v>
      </c>
      <c r="E11" s="2"/>
      <c r="F11" s="3"/>
      <c r="G11" s="4"/>
    </row>
    <row r="12" spans="1:7" x14ac:dyDescent="0.35">
      <c r="A12" s="13">
        <v>287</v>
      </c>
      <c r="B12" s="15">
        <v>8.1010452961672481</v>
      </c>
      <c r="C12" s="13">
        <v>17209.439999999995</v>
      </c>
      <c r="D12" s="15">
        <v>3.484320557491289</v>
      </c>
      <c r="E12" s="5"/>
      <c r="F12" s="6"/>
      <c r="G12" s="7"/>
    </row>
    <row r="13" spans="1:7" x14ac:dyDescent="0.35">
      <c r="A13" t="s">
        <v>1320</v>
      </c>
      <c r="B13" t="s">
        <v>1321</v>
      </c>
      <c r="E13" s="5"/>
      <c r="F13" s="6"/>
      <c r="G13" s="7"/>
    </row>
    <row r="14" spans="1:7" x14ac:dyDescent="0.35">
      <c r="A14" s="13">
        <v>17209.439999999995</v>
      </c>
      <c r="B14" s="13">
        <v>1000</v>
      </c>
      <c r="E14" s="5"/>
      <c r="F14" s="6"/>
      <c r="G14" s="7"/>
    </row>
    <row r="15" spans="1:7" x14ac:dyDescent="0.35">
      <c r="E15" s="5"/>
      <c r="F15" s="6"/>
      <c r="G15" s="7"/>
    </row>
    <row r="16" spans="1:7" x14ac:dyDescent="0.35">
      <c r="E16" s="5"/>
      <c r="F16" s="6"/>
      <c r="G16" s="7"/>
    </row>
    <row r="17" spans="5:7" x14ac:dyDescent="0.35">
      <c r="E17" s="5"/>
      <c r="F17" s="6"/>
      <c r="G17" s="7"/>
    </row>
    <row r="18" spans="5:7" x14ac:dyDescent="0.35">
      <c r="E18" s="5"/>
      <c r="F18" s="6"/>
      <c r="G18" s="7"/>
    </row>
    <row r="19" spans="5:7" x14ac:dyDescent="0.35">
      <c r="E19" s="5"/>
      <c r="F19" s="6"/>
      <c r="G19" s="7"/>
    </row>
    <row r="20" spans="5:7" x14ac:dyDescent="0.35">
      <c r="E20" s="5"/>
      <c r="F20" s="6"/>
      <c r="G20" s="7"/>
    </row>
    <row r="21" spans="5:7" x14ac:dyDescent="0.35">
      <c r="E21" s="5"/>
      <c r="F21" s="6"/>
      <c r="G21" s="7"/>
    </row>
    <row r="22" spans="5:7" x14ac:dyDescent="0.35">
      <c r="E22" s="5"/>
      <c r="F22" s="6"/>
      <c r="G22" s="7"/>
    </row>
    <row r="23" spans="5:7" x14ac:dyDescent="0.35">
      <c r="E23" s="5"/>
      <c r="F23" s="6"/>
      <c r="G23" s="7"/>
    </row>
    <row r="24" spans="5:7" x14ac:dyDescent="0.35">
      <c r="E24" s="5"/>
      <c r="F24" s="6"/>
      <c r="G24" s="7"/>
    </row>
    <row r="25" spans="5:7" x14ac:dyDescent="0.35">
      <c r="E25" s="5"/>
      <c r="F25" s="6"/>
      <c r="G25" s="7"/>
    </row>
    <row r="26" spans="5:7" x14ac:dyDescent="0.35">
      <c r="E26" s="5"/>
      <c r="F26" s="6"/>
      <c r="G26" s="7"/>
    </row>
    <row r="27" spans="5:7" x14ac:dyDescent="0.35">
      <c r="E27" s="5"/>
      <c r="F27" s="6"/>
      <c r="G27" s="7"/>
    </row>
    <row r="28" spans="5:7" x14ac:dyDescent="0.35">
      <c r="E28" s="8"/>
      <c r="F28" s="9"/>
      <c r="G28" s="10"/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Dashboard</vt:lpstr>
      <vt:lpstr>RFM Analysis Table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Paul Shonibare</cp:lastModifiedBy>
  <dcterms:created xsi:type="dcterms:W3CDTF">2025-11-07T11:17:09Z</dcterms:created>
  <dcterms:modified xsi:type="dcterms:W3CDTF">2026-01-08T11:22:54Z</dcterms:modified>
</cp:coreProperties>
</file>